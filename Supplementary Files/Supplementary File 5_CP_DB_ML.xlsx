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Downloads 2026\"/>
    </mc:Choice>
  </mc:AlternateContent>
  <xr:revisionPtr revIDLastSave="0" documentId="13_ncr:1_{2B9D5D49-C49D-4850-B7C0-B747FDFCC70F}" xr6:coauthVersionLast="47" xr6:coauthVersionMax="47" xr10:uidLastSave="{00000000-0000-0000-0000-000000000000}"/>
  <bookViews>
    <workbookView xWindow="3000" yWindow="3000" windowWidth="17280" windowHeight="8928" activeTab="2" xr2:uid="{00000000-000D-0000-FFFF-FFFF00000000}"/>
  </bookViews>
  <sheets>
    <sheet name="Canonical Pathways" sheetId="1" r:id="rId1"/>
    <sheet name="Diseases &amp; Biofunctions" sheetId="2" r:id="rId2"/>
    <sheet name="ML Disease Pathways" sheetId="3" r:id="rId3"/>
  </sheets>
  <definedNames>
    <definedName name="_xlnm._FilterDatabase" localSheetId="0" hidden="1">'Canonical Pathways'!$A$1:$R$1000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uLbKKqoT4Gd34OFkKbpUQcEwHlJ03fBeWGBgPfvAIM="/>
    </ext>
  </extLst>
</workbook>
</file>

<file path=xl/calcChain.xml><?xml version="1.0" encoding="utf-8"?>
<calcChain xmlns="http://schemas.openxmlformats.org/spreadsheetml/2006/main">
  <c r="H50" i="2" l="1"/>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alcChain>
</file>

<file path=xl/sharedStrings.xml><?xml version="1.0" encoding="utf-8"?>
<sst xmlns="http://schemas.openxmlformats.org/spreadsheetml/2006/main" count="440" uniqueCount="325">
  <si>
    <t>Ingenuity Canonical Pathways</t>
  </si>
  <si>
    <t xml:space="preserve"> -log(p-value)</t>
  </si>
  <si>
    <t>Ratio</t>
  </si>
  <si>
    <t>z-score</t>
  </si>
  <si>
    <t>Molecules</t>
  </si>
  <si>
    <t>("Canonical Pathways"[Title/Abstract]) AND ("Psoriasis"[Title/Abstract])</t>
  </si>
  <si>
    <t>References</t>
  </si>
  <si>
    <t>Antimicrobial peptides</t>
  </si>
  <si>
    <t>KLK6,LCN2,LTF,LYZ,PGLYRP4,PI3,PRSS3,RNASE7,S100A7,S100A7A,S100A8,S100A9</t>
  </si>
  <si>
    <t>("Antimicrobial peptides"[Title/Abstract]) AND ("Psoriasis"[Title/Abstract])</t>
  </si>
  <si>
    <t>Interferon alpha/beta signaling</t>
  </si>
  <si>
    <t>EGR1,IFI27,IFI6,IFIT1,IFIT3,IRF6,ISG15,MX1,OAS1,OAS2,OAS3,OASL,RSAD2,SOCS3,STAT1,XAF1</t>
  </si>
  <si>
    <t>("Interferon alpha/beta signaling"[Title/Abstract]) AND ("Psoriasis"[Title/Abstract])</t>
  </si>
  <si>
    <t>Interferon gamma signaling</t>
  </si>
  <si>
    <t>GBP1,GBP5,GBP6,HLA-DPA1,IRF6,OAS1,OAS2,OAS3,OASL,SOCS3,STAT1,TRIM14</t>
  </si>
  <si>
    <t>("Interferon gamma signaling"[Title/Abstract]) AND ("Psoriasis"[Title/Abstract])</t>
  </si>
  <si>
    <t>Keratinization</t>
  </si>
  <si>
    <t>DSC2,DSG2,IVL,KLK13,KLK8,KRT15,KRT16,KRT18,KRT19,KRT6A,KRT6B,KRT7,KRT77,KRT78,KRT79,KRT9,LCE3D,PI3,PKP3,SPRR1A,SPRR1B,SPRR2A,SPRR2D,SPRR2G,SPRR3,TGM1</t>
  </si>
  <si>
    <t>("Keratinization"[Title/Abstract]) AND ("Psoriasis"[Title/Abstract])</t>
  </si>
  <si>
    <t>OAS antiviral response</t>
  </si>
  <si>
    <t>OAS1,OAS2,OAS3,OASL</t>
  </si>
  <si>
    <t>("OAS antiviral response"[Title/Abstract]) AND ("Psoriasis"[Title/Abstract])</t>
  </si>
  <si>
    <t>Role of IL-17A in Psoriasis</t>
  </si>
  <si>
    <t>CXCL1,CXCL8,DEFB4A,S100A7,S100A8,S100A9</t>
  </si>
  <si>
    <t>("Role of IL-17A in Psoriasis"[Title/Abstract]) AND ("Psoriasis"[Title/Abstract])</t>
  </si>
  <si>
    <r>
      <t>Donnarumma, Giovanna, et al. “Malassezia Furfur Induces the Expression of Beta-Defensin-2 in Human Keratinocytes in a Protein Kinase C-Dependent Manner.” </t>
    </r>
    <r>
      <rPr>
        <i/>
        <sz val="10"/>
        <color rgb="FF222222"/>
        <rFont val="Calibri"/>
        <family val="2"/>
        <scheme val="minor"/>
      </rPr>
      <t>Archives of Dermatological Research</t>
    </r>
    <r>
      <rPr>
        <sz val="10"/>
        <color rgb="FF222222"/>
        <rFont val="Calibri"/>
        <family val="2"/>
        <scheme val="minor"/>
      </rPr>
      <t>, vol. 295, no. 11, Apr. 2004, pp. 474–81. </t>
    </r>
    <r>
      <rPr>
        <i/>
        <sz val="10"/>
        <color rgb="FF222222"/>
        <rFont val="Calibri"/>
        <family val="2"/>
        <scheme val="minor"/>
      </rPr>
      <t>PubMed</t>
    </r>
    <r>
      <rPr>
        <sz val="10"/>
        <color rgb="FF222222"/>
        <rFont val="Calibri"/>
        <family val="2"/>
        <scheme val="minor"/>
      </rPr>
      <t>, https://doi.org/10.1007/s00403-003-0445-0.</t>
    </r>
  </si>
  <si>
    <r>
      <t>van der Fits, Leslie, et al. “In Psoriasis Lesional Skin the Type I Interferon Signaling Pathway Is Activated, Whereas Interferon-Alpha Sensitivity Is Unaltered.” </t>
    </r>
    <r>
      <rPr>
        <i/>
        <sz val="10"/>
        <color rgb="FF222222"/>
        <rFont val="Calibri"/>
        <family val="2"/>
        <scheme val="minor"/>
      </rPr>
      <t>The Journal of Investigative Dermatology</t>
    </r>
    <r>
      <rPr>
        <sz val="10"/>
        <color rgb="FF222222"/>
        <rFont val="Calibri"/>
        <family val="2"/>
        <scheme val="minor"/>
      </rPr>
      <t>, vol. 122, no. 1, Jan. 2004, pp. 51–60. </t>
    </r>
    <r>
      <rPr>
        <i/>
        <sz val="10"/>
        <color rgb="FF222222"/>
        <rFont val="Calibri"/>
        <family val="2"/>
        <scheme val="minor"/>
      </rPr>
      <t>PubMed</t>
    </r>
    <r>
      <rPr>
        <sz val="10"/>
        <color rgb="FF222222"/>
        <rFont val="Calibri"/>
        <family val="2"/>
        <scheme val="minor"/>
      </rPr>
      <t>, https://doi.org/10.1046/j.0022-202X.2003.22113.x.</t>
    </r>
  </si>
  <si>
    <r>
      <t>Vincken, Nanette L. A., et al. “Suppression of IL-12/IL-23 P40 Subunit in the Skin and Blood of Psoriasis Patients by Tofacitinib Is Dependent on Active Interferon-γ Signaling in Dendritic Cells: Implications for the Treatment of Psoriasis and Interferon-Driven Diseases.” </t>
    </r>
    <r>
      <rPr>
        <i/>
        <sz val="10"/>
        <color rgb="FF222222"/>
        <rFont val="Calibri"/>
        <family val="2"/>
        <scheme val="minor"/>
      </rPr>
      <t>Experimental Dermatology</t>
    </r>
    <r>
      <rPr>
        <sz val="10"/>
        <color rgb="FF222222"/>
        <rFont val="Calibri"/>
        <family val="2"/>
        <scheme val="minor"/>
      </rPr>
      <t>, vol. 31, no. 6, June 2022, pp. 962–69. </t>
    </r>
    <r>
      <rPr>
        <i/>
        <sz val="10"/>
        <color rgb="FF222222"/>
        <rFont val="Calibri"/>
        <family val="2"/>
        <scheme val="minor"/>
      </rPr>
      <t>PubMed</t>
    </r>
    <r>
      <rPr>
        <sz val="10"/>
        <color rgb="FF222222"/>
        <rFont val="Calibri"/>
        <family val="2"/>
        <scheme val="minor"/>
      </rPr>
      <t>, https://doi.org/10.1111/exd.14566.</t>
    </r>
  </si>
  <si>
    <r>
      <t>Orfanos, C. E., et al. “[Treatment of psoriasis using vitamin A, vitamin A acid and oral retinoids].” </t>
    </r>
    <r>
      <rPr>
        <i/>
        <sz val="10"/>
        <color rgb="FF222222"/>
        <rFont val="Calibri"/>
        <family val="2"/>
        <scheme val="minor"/>
      </rPr>
      <t>Der Hautarzt; Zeitschrift Fur Dermatologie, Venerologie, Und Verwandte Gebiete</t>
    </r>
    <r>
      <rPr>
        <sz val="10"/>
        <color rgb="FF222222"/>
        <rFont val="Calibri"/>
        <family val="2"/>
        <scheme val="minor"/>
      </rPr>
      <t>, vol. 30, no. 3, Mar. 1979, pp. 124–33. </t>
    </r>
    <r>
      <rPr>
        <i/>
        <sz val="10"/>
        <color rgb="FF222222"/>
        <rFont val="Calibri"/>
        <family val="2"/>
        <scheme val="minor"/>
      </rPr>
      <t>PubMed</t>
    </r>
    <r>
      <rPr>
        <sz val="10"/>
        <color rgb="FF222222"/>
        <rFont val="Calibri"/>
        <family val="2"/>
        <scheme val="minor"/>
      </rPr>
      <t>.</t>
    </r>
  </si>
  <si>
    <t>No Literature Found</t>
  </si>
  <si>
    <r>
      <t>Varshney, Pallavi, et al. “Transcriptome Profiling Unveils the Role of Cholesterol in IL-17A Signaling in Psoriasis.” </t>
    </r>
    <r>
      <rPr>
        <i/>
        <sz val="10"/>
        <color rgb="FF222222"/>
        <rFont val="Calibri"/>
        <family val="2"/>
        <scheme val="minor"/>
      </rPr>
      <t>Scientific Reports</t>
    </r>
    <r>
      <rPr>
        <sz val="10"/>
        <color rgb="FF222222"/>
        <rFont val="Calibri"/>
        <family val="2"/>
        <scheme val="minor"/>
      </rPr>
      <t>, vol. 6, no. 1, Jan. 2016, p. 19295. </t>
    </r>
    <r>
      <rPr>
        <i/>
        <sz val="10"/>
        <color rgb="FF222222"/>
        <rFont val="Calibri"/>
        <family val="2"/>
        <scheme val="minor"/>
      </rPr>
      <t>DOI.org (Crossref)</t>
    </r>
    <r>
      <rPr>
        <sz val="10"/>
        <color rgb="FF222222"/>
        <rFont val="Calibri"/>
        <family val="2"/>
        <scheme val="minor"/>
      </rPr>
      <t>, https://doi.org/10.1038/srep19295.</t>
    </r>
  </si>
  <si>
    <t>CXCL8</t>
  </si>
  <si>
    <t>EGR1</t>
  </si>
  <si>
    <t>LCN2</t>
  </si>
  <si>
    <t>Genes of Interest (GoI) Present in Molecules</t>
  </si>
  <si>
    <t>Diseases or Functions Annotation (Directly relevant)</t>
  </si>
  <si>
    <t>p-value</t>
  </si>
  <si>
    <t>Predicted Activation State</t>
  </si>
  <si>
    <t>Activation z-score</t>
  </si>
  <si>
    <t># Molecules</t>
  </si>
  <si>
    <t>No. of GoI Present in Molecules</t>
  </si>
  <si>
    <t>Searched in Abstract/Title</t>
  </si>
  <si>
    <t>Activation of blood cells</t>
  </si>
  <si>
    <t>Increased</t>
  </si>
  <si>
    <t>ADIPOQ,AIM2,ARG1,ATF3,BACH2,BCL6,BHLHE40,CCL13,CCL22,CCR7,CD2,CD24,CD274,CD47,CD48,CDK5R1,CLEC7A,CXCL1,CXCL10,CXCL8,CXCL9,DDIT3,DEFB4A,DUSP1,EPSTI1,FGF2,FOS,GATA3,GPAM,GZMA,GZMB,HBP1,HLA-DPA1,HPSE,HSD11B1,IDO1,IL19,IL37,IL6,IL6ST,IRF6,JUN,KLF2,LCK,LCN2,LTB,LTF,MMP1,MMP9,NAMPT,NFIL3,NR3C2,NR4A1,NR4A2,PDK4,PLCB4,PPARG,PPIF,PRKCQ,PTGS2,PYCARD,RAB27A,RBP4,RGMA,RHOB,RORA,RORC,RSAD2,S100A12,S100A7,S100A8,S100A9,SELL,SEMA3G,SFRP1,SLAMF7,SOCS2,SPRY1,STAT1,THBS1,TNFAIP3,VEGFA,VTCN1,ZC3H12A</t>
  </si>
  <si>
    <r>
      <rPr>
        <sz val="11"/>
        <color theme="1"/>
        <rFont val="Calibri"/>
        <family val="2"/>
      </rPr>
      <t>ARG1,ATF3,BHLHE40,CXCL8,DUSP1,FOS,HSD11B1,IL6,JUN,LCN2,MMP1,NFIL3,NR4A1,NR4A2,PPARG,RBP4,SOCS2,TF,VEGFA,</t>
    </r>
    <r>
      <rPr>
        <b/>
        <sz val="11"/>
        <color theme="1"/>
        <rFont val="Calibri"/>
        <family val="2"/>
      </rPr>
      <t>MMP9,PTGS2</t>
    </r>
  </si>
  <si>
    <t>("Activation of blood cells"[Title/Abstract]) AND ("Psoriasis"[Title/Abstract])</t>
  </si>
  <si>
    <t>Not found in Literature</t>
  </si>
  <si>
    <t>Activation of cells</t>
  </si>
  <si>
    <t>ADIPOQ,ADRB2,AIM2,ARG1,ATF3,BACH2,BCL2A1,BCL6,BHLHE40,CCL13,CCL18,CCL22,CCN1,CCR7,CD2,CD24,CD274,CD47,CD48,CDK5R1,CIDEC,CLEC7A,CXCL1,CXCL10,CXCL8,CXCL9,DDIT3,DDIT4,DEFB4A,DUSP1,EPSTI1,FERMT2,FGF2,FOS,GATA3,GPAM,GRIA2,GZMA,GZMB,HBP1,HLA-DPA1,HPSE,HSD11B1,HTR3A,IDO1,IL19,IL36A,IL36G,IL36RN,IL37,IL6,IL6ST,INSR,IRF6,JUN,KLF2,KRT18,LCK,LCN2,LHX2,LTB,LTF,MEGF10,MMP1,MMP9,NAMPT,NFIL3,NR1D1,NR3C2,NR4A1,NR4A2,PDK4,PLA2G2F,PLCB4,PPARG,PPARGC1A,PPIF,PPP1R1A,PRKCQ,PTGS2,PYCARD,RAB27A,RBP4,RGMA,RHOB,RORA,RORC,RSAD2,S100A12,S100A7,S100A8,S100A9,SELL,SEMA3G,SERPINE1,SFRP1,SLAMF7,SLC2A3,SMPD3,SOCS2,SPRY1,STAT1,STC1,TF,THBS1,TNFAIP3,VEGFA,VNN1,VTCN1,ZC3H12A</t>
  </si>
  <si>
    <r>
      <rPr>
        <sz val="11"/>
        <color theme="1"/>
        <rFont val="Calibri"/>
        <family val="2"/>
      </rPr>
      <t>ARG1,ATF3,BHLHE40,CCN1,CXCL8,DUSP1,FOS,HSD11B1,IL6,JUN,LCN2,MMP1,NFIL3,NR4A1,NR4A2,PPARG,PPARGC1A,RBP4,SLC2A3,SMPD3,SOCS2,STC1,TF,VEGFA,</t>
    </r>
    <r>
      <rPr>
        <b/>
        <sz val="11"/>
        <color theme="1"/>
        <rFont val="Calibri"/>
        <family val="2"/>
      </rPr>
      <t>MMP9,PTGS2</t>
    </r>
  </si>
  <si>
    <t>("Activation of cells"[Title/Abstract]) AND ("Psoriasis"[Title/Abstract])</t>
  </si>
  <si>
    <t>Christophers, E., et al.  Identification of Two Endogenous Neutrophil-Activating Peptides in Psoriatic Skin and Inflammatory Cells: C5ades Arg and NAP.  Dermatologica, 179 Suppl 1, 1989, pp. 9 15. PubMed, https://doi.org/10.1159/000248440.</t>
  </si>
  <si>
    <t>Activation of leukocytes</t>
  </si>
  <si>
    <t>ADIPOQ,AIM2,ARG1,ATF3,BACH2,BCL6,BHLHE40,CCL13,CCL22,CCR7,CD2,CD24,CD274,CD47,CD48,CDK5R1,CLEC7A,CXCL1,CXCL10,CXCL8,CXCL9,DDIT3,DEFB4A,DUSP1,EPSTI1,FGF2,FOS,GATA3,GPAM,GZMA,GZMB,HBP1,HLA-DPA1,HPSE,HSD11B1,IDO1,IL19,IL37,IL6,IL6ST,IRF6,JUN,KLF2,LCK,LCN2,LTB,LTF,MMP9,NAMPT,NFIL3,NR3C2,NR4A1,NR4A2,PDK4,PLCB4,PPARG,PRKCQ,PTGS2,PYCARD,RAB27A,RBP4,RGMA,RHOB,RORA,RSAD2,S100A12,S100A7,S100A8,S100A9,SELL,SEMA3G,SFRP1,SLAMF7,SOCS2,SPRY1,STAT1,THBS1,TNFAIP3,VEGFA,VTCN1,ZC3H12A</t>
  </si>
  <si>
    <r>
      <rPr>
        <sz val="11"/>
        <color theme="1"/>
        <rFont val="Calibri"/>
        <family val="2"/>
      </rPr>
      <t>ARG1,ATF3,BHLHE40,CXCL8,DUSP1,FOS,HSD11B1,IL6,JUN,LCN2,NFIL3,NR4A1,NR4A2,PPARG,RBP4,SOCS2,TF,VEGFA,</t>
    </r>
    <r>
      <rPr>
        <b/>
        <sz val="11"/>
        <color theme="1"/>
        <rFont val="Calibri"/>
        <family val="2"/>
      </rPr>
      <t>MMP9,PTGS2</t>
    </r>
  </si>
  <si>
    <t>("Activation of leukocytes"[Title/Abstract]) AND ("Psoriasis"[Title/Abstract])</t>
  </si>
  <si>
    <t>Krueger, James G.  The Immunologic Basis for the Treatment of Psoriasis with New Biologic Agents.  Journal of the American Academy of Dermatology, vol. 46, no. 1, Jan. 2002, pp. 1 23; quiz 23 26. PubMed, https://doi.org/10.1067/mjd.2002.120568.</t>
  </si>
  <si>
    <t>Activation of myeloid cells</t>
  </si>
  <si>
    <t>ADIPOQ,ARG1,ATF3,CCL13,CCL22,CD274,CD47,CD48,CDK5R1,CXCL1,CXCL10,CXCL8,CXCL9,DDIT3,EPSTI1,GZMA,HPSE,HSD11B1,IL19,IL37,IL6,IRF6,JUN,LCN2,LTF,MMP9,NAMPT,NFIL3,NR3C2,NR4A1,PDK4,PPARG,PTGS2,RAB27A,RGMA,RORA,S100A12,S100A7,S100A8,S100A9,SELL,SFRP1,STAT1,THBS1,VTCN1</t>
  </si>
  <si>
    <r>
      <rPr>
        <sz val="11"/>
        <color theme="1"/>
        <rFont val="Calibri"/>
        <family val="2"/>
      </rPr>
      <t>ARG1,ATF3,CXCL8,HSD11B1,IL6,JUN,LCN2,NFIL3,NR4A1,PPARG,PTGS2,TF,</t>
    </r>
    <r>
      <rPr>
        <b/>
        <sz val="11"/>
        <color theme="1"/>
        <rFont val="Calibri"/>
        <family val="2"/>
      </rPr>
      <t>MMP9,PTGS2</t>
    </r>
  </si>
  <si>
    <t>("Activation of myeloid cells"[Title/Abstract]) AND ("Psoriasis"[Title/Abstract])</t>
  </si>
  <si>
    <t>Gottlieb, Alice B., et al.  TNF Inhibition Rapidly Down-Regulates Multiple Proinflammatory Pathways in Psoriasis Plaques.  Journal of Immunology (Baltimore, Md.: 1950), vol. 175, no. 4, Aug. 2005, pp. 2721 29. PubMed, https://doi.org/10.4049/jimmunol.175.4.2721.</t>
  </si>
  <si>
    <t>Activation of phagocytes</t>
  </si>
  <si>
    <t>ADIPOQ,ARG1,ATF3,CCL13,CCL22,CCR7,CD24,CD274,CD47,CD48,CDK5R1,CLEC7A,CXCL1,CXCL10,CXCL8,DDIT3,DEFB4A,EPSTI1,GZMA,HPSE,HSD11B1,IDO1,IL19,IL37,IL6,IRF6,JUN,LCN2,LTB,LTF,MMP9,NAMPT,NFIL3,NR3C2,NR4A1,PDK4,PPARG,PTGS2,PYCARD,RAB27A,RGMA,RORA,S100A12,S100A7,S100A8,S100A9,SELL,SFRP1,STAT1,THBS1,VEGFA,VTCN1</t>
  </si>
  <si>
    <r>
      <rPr>
        <sz val="11"/>
        <color theme="1"/>
        <rFont val="Calibri"/>
        <family val="2"/>
      </rPr>
      <t>ARG1,ATF3,CXCL8,HSD11B1,IL6,JUN,LCN2,NFIL3,NR4A1,PPARG,TF,VEGFA,</t>
    </r>
    <r>
      <rPr>
        <b/>
        <sz val="11"/>
        <color theme="1"/>
        <rFont val="Calibri"/>
        <family val="2"/>
      </rPr>
      <t>MMP9,PTGS2</t>
    </r>
  </si>
  <si>
    <t>("Activation of phagocytes"[Title/Abstract]) AND ("Psoriasis"[Title/Abstract])</t>
  </si>
  <si>
    <t>Zhang, K., et al.  Decreased Colony Formation of High Proliferative Potential Colony-Forming Cells and Granulocyte-Macrophage Colony-Forming Units and Increased Hes-1 Expression in Bone Marrow Mononuclear Cells from Patients with Psoriasis.  The British Journal of Dermatology, vol. 163, no. 1, July 2010, pp. 93 101. PubMed, https://doi.org/10.1111/j.1365-2133.2010.09790.x.</t>
  </si>
  <si>
    <t>Antimicrobial response</t>
  </si>
  <si>
    <t>ADM,AIM2,APOBEC3A,APOBEC3B,CCL22,CCR7,CLEC7A,CXCL13,CXCL8,CXCL9,DDIT4,DEFB4A,GBP1,GBP5,GPAM,GPR15LG,GZMB,H2BC8,IFI27,IFI44,IFI44L,IFI6,IFIT1,IFIT3,IL6,ISG15,LCN2,LTF,LYZ,MMP12,MMP7,MX1,NLRX1,OAS1,OAS2,OAS3,OASL,OTUB2,PARP9,PGLYRP4,PMAIP1,PRSS3,PYCARD,RNASE7,RSAD2,RTP4,S100A12,S100A7,S100A8,S100A9,SOCS3,SPRR2A,SPRY1,STAT1,WFDC12,ZC3H12A</t>
  </si>
  <si>
    <t>ADM,CXCL8,IL6,LCN2,MMP1,TF</t>
  </si>
  <si>
    <t>("Antimicrobial response"[Title/Abstract]) AND ("Psoriasis"[Title/Abstract])</t>
  </si>
  <si>
    <t>de Jongh, Gys J., et al.  High Expression Levels of Keratinocyte Antimicrobial Proteins in Psoriasis Compared with Atopic Dermatitis.  The Journal of Investigative Dermatology, vol. 125, no. 6, Dec. 2005, pp. 1163 73. PubMed, https://doi.org/10.1111/j.0022-202X.2005.23935.x.</t>
  </si>
  <si>
    <t>Cell movement</t>
  </si>
  <si>
    <t>ACKR1,ACP5,ACTA2,ADAMTS1,ADIPOQ,ADM,ADRB1,ADRB2,AGTR1,AIM2,AKAP12,AKR1B10,AOC3,APOBEC3A,APOBEC3B,APOC1,APOD,ARG1,ASPM,ATF3,ATP6V0A4,AURKA,BACH2,BAG4,BCAR3,BCL6,BHLHE40,BHLHE41,BIRC5,BTC,CAMK2N1,CAVIN2,CCL13,CCL18,CCL22,CCL27,CCN1,CCNA2,CCNB1,CCNB2,CCR7,CD2,CD24,CD274,CD47,CD48,CDC20,CDC42BPA,CDK1,CDK5R1,CDKN3,CDO1,CES1,CFAP251,CHRM3,CHRNA9,CLEC7A,CXCL1,CXCL10,CXCL11,CXCL13,CXCL8,CXCL9,CYP1A1,CYP1B1,DACT1,DDIT4,DDX17,DEFB4A,DHRS9,DLGAP5,DSC2,DSG2,DUSP1,EGR1,ELAPOR1,EPCAM,ERAP2,FABP4,FABP5,FADS2,FASN,FBXO32,FBXO45,FEN1,FERMT2,FGF2,FLT1,FNBP1L,FNIP1,FOS,FOSB,FOXC1,GABBR1,GAL,GATA3,GBP1,GJB2,GLDC,GPD1,GPR15LG,GPRC5A,GRIA2,GZMB,H19,HBP1,HES1,HPSE,HYAL4,ID4,IDO1,IFI27,IFIT1,IFIT3,IGFBP5,IGFBP6,IL19,IL36A,IL36G,IL36RN,IL37,IL6,IL6ST,IL7R,INHBB,INSIG1,INSR,IRF6,ISG15,JUN,KCNK5,KIF2C,KIF4A,KLF2,KLF9,KLK6,KLK7,KLRB1,KMT2A,KRT16,KRT18,KRT19,KRT6A,KRT6B,KYNU,LCK,LCN2,LHX2,LIFR,LINC01140,LPP,LRP8,LTB,LTF,LYVE1,MALAT1,MAOA,MB,MEGF10,MELK,MMP1,MMP12,MMP7,MMP9,MRAS,MUC1,MX1,NAMPT,NCALD,NEDD9,NFAT5,NFIL3,NLRX1,NR1D1,NR3C2,NR4A1,NR4A2,OAS1,OIP5,OSBPL8,OSMR,PARP9,PBK,PDK4,PDZK1IP1,PER1,PHLDA1,PI3,PIK3R1,PKP3,PLAAT3,POLE2,POLR3G,PPARG,PPARGC1A,PPIF,PPP1R15A,PPP1R1B,PRKCQ,PRR11,PRSS27,PRSS3,PTGS2,RAB27A,RAC2,RAD51AP1,RGMA,RGS1,RHCG,RHOB,RHOBTB3,ROPN1,RORA,RORC,RRM2,RSPO3,S100A12,S100A7,S100A7A,S100A8,S100A9,SELL,SEPTIN11,SERPINB3,SERPINE1,SF1,SFRP1,SH3PXD2A-AS1,SH3RF1,SIK1,SLAMF7,SLC7A11,SLURP2,SOCS2,SOCS3,SOD2,SORBS1,SOX17,SOX8,SOX9,STAT1,STC1,TBX3,THBS1,TIAM2,TIMP3,TIMP4,TK1,TM4SF1,TMPRSS4,TNFAIP3,TPX2,TRIM14,TRIP13,TSC22D3,TTK,TYMP,VEGFA,VTCN1,WIF1,XAF1,XDH,ZBTB16,ZC3H12A,ZFP36L1</t>
  </si>
  <si>
    <r>
      <rPr>
        <sz val="11"/>
        <color theme="1"/>
        <rFont val="Calibri"/>
        <family val="2"/>
      </rPr>
      <t>ADM,ARG1,ATF3,AURKA,BHLHE40,BIRC5,CCN1,CCNA2,CCNB2,CHRM3,CXCL8,DUSP1,EGR1,FASN,FLT1,FOS,FOSB,GAL,GLDC,IL6,JUN,LCN2,MMP1,NFIL3,NR4A1,NR4A2,PER1,PPARG,PPARGC1A,PPP1R15A,SIK1,SOCS2,SOD2,STC1,TF,VEGFA,ZFP36,LINC01140,</t>
    </r>
    <r>
      <rPr>
        <b/>
        <sz val="11"/>
        <color theme="1"/>
        <rFont val="Calibri"/>
        <family val="2"/>
      </rPr>
      <t>CCNB1,CDK1,MMP9,PTGS2,CYP1A1</t>
    </r>
  </si>
  <si>
    <t>("Cell movement"[Title/Abstract]) AND ("Psoriasis"[Title/Abstract])</t>
  </si>
  <si>
    <t>Cell movement of granulocytes</t>
  </si>
  <si>
    <t>ACKR1,ADIPOQ,ADM,ADRB2,AIM2,AOC3,CCL13,CCR7,CD2,CD274,CD47,CD48,CXCL1,CXCL10,CXCL11,CXCL8,CXCL9,DDIT4,DEFB4A,DUSP1,FABP4,FABP5,FOS,GJB2,GZMB,IL36A,IL36G,IL6,IL6ST,IRF6,ISG15,LCN2,LTF,MMP12,MMP7,MMP9,NR4A1,PDK4,PPARG,PRKCQ,PRSS3,PTGS2,RAB27A,RAC2,RORA,RSPO3,S100A12,S100A7,S100A7A,S100A8,S100A9,SELL,SERPINE1,SFRP1,SOCS3,TNFAIP3,VEGFA,VTCN1</t>
  </si>
  <si>
    <r>
      <rPr>
        <sz val="11"/>
        <color theme="1"/>
        <rFont val="Calibri"/>
        <family val="2"/>
      </rPr>
      <t>ADM,CXCL8,DUSP1,FOS,IL6,LCN2,MMP1,NR4A1,PPARG,TF,VEGFA,</t>
    </r>
    <r>
      <rPr>
        <b/>
        <sz val="11"/>
        <color theme="1"/>
        <rFont val="Calibri"/>
        <family val="2"/>
      </rPr>
      <t>MMP9,PTGS2</t>
    </r>
  </si>
  <si>
    <t>("Cell movement of granulocytes"[Title/Abstract]) AND ("Psoriasis"[Title/Abstract])</t>
  </si>
  <si>
    <t>Cell movement of leukocytes</t>
  </si>
  <si>
    <t>ACKR1,ADIPOQ,ADM,ADRB2,AIM2,AOC3,APOD,ARG1,BACH2,BAG4,BCL6,CCL13,CCL18,CCL22,CCL27,CCN1,CCR7,CD2,CD274,CD47,CD48,CDC20,CES1,CHRNA9,CXCL1,CXCL10,CXCL11,CXCL13,CXCL8,CXCL9,DDIT4,DEFB4A,DUSP1,FABP4,FABP5,FASN,FLT1,FOS,GATA3,GJB2,GPR15LG,GPRC5A,GZMB,HPSE,IDO1,IL36A,IL36G,IL36RN,IL37,IL6,IL6ST,IL7R,INSR,IRF6,ISG15,JUN,KCNK5,KLF2,LCK,LCN2,LTB,LTF,MAOA,MMP12,MMP7,MMP9,MUC1,NEDD9,NFIL3,NR3C2,NR4A1,PDK4,PIK3R1,PKP3,PPARG,PPP1R15A,PRKCQ,PRSS3,PTGS2,RAB27A,RAC2,RGS1,RHOB,RORA,RORC,RRM2,RSPO3,S100A12,S100A7,S100A7A,S100A8,S100A9,SELL,SERPINB3,SERPINE1,SFRP1,SLAMF7,SOCS3,SOD2,STAT1,STC1,THBS1,TIMP3,TNFAIP3,VEGFA,VTCN1,ZC3H12A</t>
  </si>
  <si>
    <r>
      <rPr>
        <sz val="11"/>
        <color theme="1"/>
        <rFont val="Calibri"/>
        <family val="2"/>
      </rPr>
      <t>ADM,ARG1,CCN1,CXCL8,DUSP1,FASN,FLT1,FOS,IL6,JUN,LCN2,MMP1,NFIL3,NR4A1,PPARG,PPP1R15A,SOD2,STC1,TF,VEGFA,</t>
    </r>
    <r>
      <rPr>
        <b/>
        <sz val="11"/>
        <color theme="1"/>
        <rFont val="Calibri"/>
        <family val="2"/>
      </rPr>
      <t>MMP9,PTGS2</t>
    </r>
  </si>
  <si>
    <t>("Cell movement of leukocytes"[Title/Abstract]) AND ("Psoriasis"[Title/Abstract])</t>
  </si>
  <si>
    <t>Li, Yi-Yang Yvonne, et al.  Targeting Leukocyte Recruitment in the Treatment of Psoriasis.  Clinics in Dermatology, vol. 26, no. 5, 2008, pp. 527 38. PubMed, https://doi.org/10.1016/j.clindermatol.2007.11.002.</t>
  </si>
  <si>
    <t>Cell movement of lymphatic system cells</t>
  </si>
  <si>
    <t>ACKR1,ADIPOQ,ADRB2,AIM2,AOC3,APOD,BACH2,CCL13,CCL18,CCL22,CCL27,CCR7,CD2,CD274,CD47,CD48,CDC20,CXCL1,CXCL10,CXCL11,CXCL13,CXCL8,CXCL9,DDIT4,DEFB4A,FABP5,FOS,GATA3,GJB2,GPR15LG,GPRC5A,IL37,IL6,IL6ST,IL7R,INSR,IRF6,ISG15,JUN,KCNK5,KLF2,LCK,LTB,MMP9,MUC1,NEDD9,NFIL3,NR4A1,PIK3R1,PKP3,PPARG,PRKCQ,PTGS2,RAC2,RGS1,RORA,RORC,RRM2,S100A7,SELL,SERPINB3,SOCS3,STAT1,THBS1,TIMP3,VEGFA,VTCN1,ZC3H12A</t>
  </si>
  <si>
    <r>
      <rPr>
        <sz val="11"/>
        <color theme="1"/>
        <rFont val="Calibri"/>
        <family val="2"/>
      </rPr>
      <t>CXCL8,FOS,IL6,JUN,NFIL3,NR4A1,PPARG,VEGFA,</t>
    </r>
    <r>
      <rPr>
        <b/>
        <sz val="11"/>
        <color theme="1"/>
        <rFont val="Calibri"/>
        <family val="2"/>
      </rPr>
      <t>MMP9,PTGS2</t>
    </r>
  </si>
  <si>
    <t>("Cell movement of lymphatic system cells"[Title/Abstract]) AND ("Psoriasis"[Title/Abstract])</t>
  </si>
  <si>
    <t>Cell movement of lymphocytes</t>
  </si>
  <si>
    <t>ACKR1,ADIPOQ,ADRB2,AIM2,AOC3,APOD,BACH2,CCL13,CCL18,CCL22,CCL27,CCR7,CD2,CD274,CD47,CD48,CDC20,CXCL1,CXCL10,CXCL11,CXCL13,CXCL8,CXCL9,DDIT4,DEFB4A,FABP5,FOS,GATA3,GJB2,GPR15LG,GPRC5A,IL37,IL6,IL6ST,IL7R,INSR,IRF6,ISG15,JUN,KCNK5,KLF2,LCK,LTB,MMP9,MUC1,NEDD9,NFIL3,NR4A1,PIK3R1,PKP3,PPARG,PRKCQ,PTGS2,RAC2,RGS1,RORA,RORC,RRM2,S100A7,SELL,SERPINB3,SOCS3,STAT1,THBS1,TIMP3,VTCN1,ZC3H12A</t>
  </si>
  <si>
    <r>
      <rPr>
        <sz val="11"/>
        <color theme="1"/>
        <rFont val="Calibri"/>
        <family val="2"/>
      </rPr>
      <t>CXCL8,FOS,IL6,JUN,NFIL3,NR4A1,PPARG,</t>
    </r>
    <r>
      <rPr>
        <b/>
        <sz val="11"/>
        <color theme="1"/>
        <rFont val="Calibri"/>
        <family val="2"/>
      </rPr>
      <t>PTGS2,MMP9</t>
    </r>
  </si>
  <si>
    <t>("Cell movement of lymphocytes"[Title/Abstract]) AND ("Psoriasis"[Title/Abstract])</t>
  </si>
  <si>
    <t>Cell movement of monocytes</t>
  </si>
  <si>
    <t>AOC3,CCL22,CCN1,CD47,CHRNA9,CXCL10,CXCL8,CXCL9,DUSP1,FLT1,IL6,IL6ST,MAOA,MMP12,MMP9,PPARG,RAC2,S100A12,S100A7,S100A7A,SERPINE1,STAT1,TIMP3,VEGFA</t>
  </si>
  <si>
    <r>
      <rPr>
        <sz val="11"/>
        <color theme="1"/>
        <rFont val="Calibri"/>
        <family val="2"/>
      </rPr>
      <t>CCN1,CXCL8,DUSP1,FLT1,IL6,MMP1,PPARG,VEGFA,</t>
    </r>
    <r>
      <rPr>
        <b/>
        <sz val="11"/>
        <color theme="1"/>
        <rFont val="Calibri"/>
        <family val="2"/>
      </rPr>
      <t>MMP9</t>
    </r>
  </si>
  <si>
    <t>("Cell movement of monocytes"[Title/Abstract]) AND ("Psoriasis"[Title/Abstract])</t>
  </si>
  <si>
    <t>Neum ller, J., et al.  Interaction of Monocytes from Patients with Psoriatic Arthritis with Cultured Microvascular Endothelial Cells.  Clinical Immunology (Orlando, Fla.), vol. 98, no. 1, Jan. 2001, pp. 143 52. PubMed, https://doi.org/10.1006/clim.2000.4953.</t>
  </si>
  <si>
    <t>Cell movement of mononuclear leukocytes</t>
  </si>
  <si>
    <t>ACKR1,ADIPOQ,ADRB2,AIM2,AOC3,APOD,BACH2,CCL13,CCL18,CCL22,CCL27,CCN1,CCR7,CD2,CD274,CD47,CD48,CDC20,CHRNA9,CXCL1,CXCL10,CXCL11,CXCL13,CXCL8,CXCL9,DDIT4,DEFB4A,DUSP1,FABP5,FLT1,FOS,GATA3,GJB2,GPR15LG,GPRC5A,IL37,IL6,IL6ST,IL7R,INSR,IRF6,ISG15,JUN,KCNK5,KLF2,LCK,LTB,MAOA,MMP12,MMP9,MUC1,NEDD9,NFIL3,NR4A1,PIK3R1,PKP3,PPARG,PRKCQ,PTGS2,RAC2,RGS1,RORA,RORC,RRM2,S100A12,S100A7,S100A7A,SELL,SERPINB3,SERPINE1,SOCS3,STAT1,THBS1,TIMP3,VEGFA,VTCN1,ZC3H12A</t>
  </si>
  <si>
    <r>
      <rPr>
        <sz val="11"/>
        <color theme="1"/>
        <rFont val="Calibri"/>
        <family val="2"/>
      </rPr>
      <t>CCN1,CXCL8,DUSP1,FLT1,FOS,IL6,JUN,MMP1,NFIL3,NR4A1,PPARG,VEGFA,</t>
    </r>
    <r>
      <rPr>
        <b/>
        <sz val="11"/>
        <color theme="1"/>
        <rFont val="Calibri"/>
        <family val="2"/>
      </rPr>
      <t>MMP9,PTGS2</t>
    </r>
  </si>
  <si>
    <t>("Cell movement of mononuclear leukocytes"[Title/Abstract]) AND ("Psoriasis"[Title/Abstract])</t>
  </si>
  <si>
    <t>Goebeler, M., et al.  The C-X-C Chemokine Mig Is Highly Expressed in the Papillae of Psoriatic Lesions.  The Journal of Pathology, vol. 184, no. 1, Jan. 1998, pp. 89 95. PubMed, https://doi.org/10.1002/(SICI)1096-9896(199801)184:1%3C89::AID-PATH975%3E3.0.CO;2-Z.</t>
  </si>
  <si>
    <t>Cell movement of myeloid cells</t>
  </si>
  <si>
    <t>ACKR1,ADIPOQ,ADM,ADRB2,AIM2,AOC3,ARG1,BAG4,BCL6,CCL13,CCL22,CCN1,CCR7,CD2,CD274,CD47,CD48,CES1,CHRNA9,CXCL1,CXCL10,CXCL11,CXCL8,CXCL9,DDIT4,DEFB4A,DUSP1,FABP4,FABP5,FLT1,FOS,GJB2,GZMB,IL36A,IL36G,IL37,IL6,IL6ST,IRF6,ISG15,LCN2,LTB,LTF,MAOA,MMP12,MMP7,MMP9,MUC1,NR3C2,NR4A1,PDK4,PIK3R1,PPARG,PPP1R15A,PRKCQ,PRSS3,PTGS2,RAB27A,RAC2,RHOB,RORA,RRM2,RSPO3,S100A12,S100A7,S100A7A,S100A8,S100A9,SELL,SERPINB3,SERPINE1,SFRP1,SLAMF7,SOCS3,SOD2,STAT1,STC1,THBS1,TIMP3,TNFAIP3,VEGFA,VTCN1</t>
  </si>
  <si>
    <r>
      <rPr>
        <sz val="11"/>
        <color theme="1"/>
        <rFont val="Calibri"/>
        <family val="2"/>
      </rPr>
      <t>ADM,ARG1,CCN1,CXCL8,DUSP1,FLT1,FOS,IL6,LCN2,MMP1,NR4A1,PPARG,PPP1R15A,SOD2,STC1,TF,VEGFA,</t>
    </r>
    <r>
      <rPr>
        <b/>
        <sz val="11"/>
        <color theme="1"/>
        <rFont val="Calibri"/>
        <family val="2"/>
      </rPr>
      <t>MMP9,PTGS2</t>
    </r>
  </si>
  <si>
    <t>("Cell movement of myeloid cells"[Title/Abstract]) AND ("Psoriasis"[Title/Abstract])</t>
  </si>
  <si>
    <t>Johnson-Huang, Leanne M., et al.  Post-Therapeutic Relapse of Psoriasis after CD11a Blockade Is Associated with T Cells and Inflammatory Myeloid DCs.  PloS One, vol. 7, no. 2, 2012, p. e30308. PubMed, https://doi.org/10.1371/journal.pone.0030308.</t>
  </si>
  <si>
    <t>Cell movement of neutrophils</t>
  </si>
  <si>
    <t>ACKR1,ADIPOQ,ADM,ADRB2,AIM2,CCR7,CD274,CD47,CXCL1,CXCL10,CXCL8,CXCL9,DDIT4,DEFB4A,DUSP1,FABP4,FABP5,GJB2,GZMB,IL36A,IL36G,IL6,IL6ST,IRF6,ISG15,LCN2,MMP12,MMP7,MMP9,PDK4,PRKCQ,PTGS2,RAB27A,RAC2,RORA,RSPO3,S100A12,S100A7,S100A8,S100A9,SELL,SERPINE1,SFRP1,SOCS3,TNFAIP3,VTCN1</t>
  </si>
  <si>
    <r>
      <rPr>
        <sz val="11"/>
        <color theme="1"/>
        <rFont val="Calibri"/>
        <family val="2"/>
      </rPr>
      <t>ADM,CXCL8,DUSP1,IL6,LCN2,MMP1,</t>
    </r>
    <r>
      <rPr>
        <b/>
        <sz val="11"/>
        <color theme="1"/>
        <rFont val="Calibri"/>
        <family val="2"/>
      </rPr>
      <t>MMP9,PTGS2</t>
    </r>
  </si>
  <si>
    <t>("Cell movement of neutrophils"[Title/Abstract]) AND ("Psoriasis"[Title/Abstract])</t>
  </si>
  <si>
    <t>Cell movement of phagocytes</t>
  </si>
  <si>
    <t>ACKR1,ADIPOQ,ADM,ADRB2,AIM2,AOC3,ARG1,BAG4,BCL6,CCL22,CCN1,CCR7,CD274,CD47,CES1,CHRNA9,CXCL1,CXCL10,CXCL11,CXCL13,CXCL8,CXCL9,DDIT4,DEFB4A,DUSP1,FABP4,FABP5,FLT1,GJB2,GZMB,HPSE,IL36A,IL36G,IL37,IL6,IL6ST,IRF6,ISG15,LCN2,LTB,MAOA,MMP12,MMP7,MMP9,MUC1,NR3C2,PDK4,PIK3R1,PPARG,PPP1R15A,PRKCQ,PTGS2,RAB27A,RAC2,RHOB,RORA,RSPO3,S100A12,S100A7,S100A7A,S100A8,S100A9,SELL,SERPINB3,SERPINE1,SFRP1,SLAMF7,SOCS3,SOD2,STAT1,STC1,THBS1,TIMP3,TNFAIP3,VEGFA,VTCN1,ZC3H12A</t>
  </si>
  <si>
    <r>
      <rPr>
        <sz val="11"/>
        <color theme="1"/>
        <rFont val="Calibri"/>
        <family val="2"/>
      </rPr>
      <t>ADM,ARG1,CCN1,CXCL8,DUSP1,FLT1,IL6,LCN2,MMP1,PPARG,PPP1R15A,SOD2,STC1,VEGFA,</t>
    </r>
    <r>
      <rPr>
        <b/>
        <sz val="11"/>
        <color theme="1"/>
        <rFont val="Calibri"/>
        <family val="2"/>
      </rPr>
      <t>MMP9,PTGS2</t>
    </r>
  </si>
  <si>
    <t>("Cell movement of phagocytes"[Title/Abstract]) AND ("Psoriasis"[Title/Abstract])</t>
  </si>
  <si>
    <t>Cell movement of T lymphocytes</t>
  </si>
  <si>
    <t>ACKR1,ADIPOQ,AIM2,AOC3,APOD,BACH2,CCL18,CCL22,CCL27,CCR7,CD274,CD47,CDC20,CXCL1,CXCL10,CXCL11,CXCL13,CXCL8,CXCL9,DDIT4,DEFB4A,FABP5,GATA3,IL6,IL6ST,INSR,LTB,MMP9,MUC1,NR4A1,PIK3R1,PKP3,PRKCQ,PTGS2,RAC2,RGS1,RORA,RORC,S100A7,SELL,SOCS3,STAT1,THBS1,VTCN1</t>
  </si>
  <si>
    <r>
      <rPr>
        <sz val="11"/>
        <color theme="1"/>
        <rFont val="Calibri"/>
        <family val="2"/>
      </rPr>
      <t>CXCL8,IL6,NR4A1,</t>
    </r>
    <r>
      <rPr>
        <b/>
        <sz val="11"/>
        <color theme="1"/>
        <rFont val="Calibri"/>
        <family val="2"/>
      </rPr>
      <t>MMP9,PTGS2</t>
    </r>
  </si>
  <si>
    <t>("Cell movement of T lymphocytes"[Title/Abstract]) AND ("Psoriasis"[Title/Abstract])</t>
  </si>
  <si>
    <t>Cellular infiltration</t>
  </si>
  <si>
    <t>ACKR1,ADIPOQ,ADM,ADRB1,ADRB2,AIM2,APOD,ARG1,CCL18,CCL22,CCN1,CCR7,CD2,CD274,CD47,CD48,CDC20,CES1,CHRNA9,CXCL10,CXCL8,CXCL9,DDIT4,DUSP1,FABP4,FABP5,FASN,FGF2,FLT1,FOS,GBP1,GJB2,GZMB,IDO1,IL36A,IL36G,IL36RN,IL6,IL6ST,IRF6,ISG15,JUN,LCN2,LTB,LTF,MMP12,MMP9,MUC1,NR3C2,NR4A1,PDK4,PIK3R1,PKP3,PPARG,PPP1R15A,PRKCQ,PRSS3,PTGS2,RAB27A,RAC2,RORA,RORC,RRM2,RSPO3,S100A8,S100A9,SELL,SERPINB3,SERPINE1,SFRP1,SLAMF7,SOCS2,SOCS3,SOD2,STAT1,STC1,THBS1,TIMP3,TNFAIP3,VEGFA,VTCN1,ZC3H12A</t>
  </si>
  <si>
    <r>
      <rPr>
        <sz val="11"/>
        <color theme="1"/>
        <rFont val="Calibri"/>
        <family val="2"/>
      </rPr>
      <t>ADM,ARG1,CCN1,CXCL8,DUSP1,FASN,FLT1,FOS,IL6,JUN,LCN2,MMP1,NR4A1,PPARG,PPP1R15A,SOCS2,SOD2,STC1,TF,VEGFA,</t>
    </r>
    <r>
      <rPr>
        <b/>
        <sz val="11"/>
        <color theme="1"/>
        <rFont val="Calibri"/>
        <family val="2"/>
      </rPr>
      <t>MMP9,PTGS2</t>
    </r>
  </si>
  <si>
    <t>("Cellular infiltration"[Title/Abstract]) AND ("Psoriasis"[Title/Abstract])</t>
  </si>
  <si>
    <t>Cellular infiltration by granulocytes</t>
  </si>
  <si>
    <t>ACKR1,ADIPOQ,ADM,ADRB2,AIM2,CCR7,CD2,CD274,CD47,CD48,CXCL8,DDIT4,DUSP1,FABP4,FABP5,FOS,GJB2,GZMB,IL36A,IL36G,IL6,IRF6,LCN2,MMP12,MMP9,NR4A1,PDK4,PPARG,PRKCQ,PRSS3,PTGS2,RAB27A,RAC2,RORA,RSPO3,S100A8,S100A9,SELL,SERPINE1,SFRP1,SOCS3,TNFAIP3,VTCN1</t>
  </si>
  <si>
    <r>
      <rPr>
        <sz val="11"/>
        <color theme="1"/>
        <rFont val="Calibri"/>
        <family val="2"/>
      </rPr>
      <t>ADM,CXCL8,DUSP1,FOS,IL6,LCN2,MMP1,NR4A1,PPARG,</t>
    </r>
    <r>
      <rPr>
        <b/>
        <sz val="11"/>
        <color theme="1"/>
        <rFont val="Calibri"/>
        <family val="2"/>
      </rPr>
      <t>MMP9,PTGS2</t>
    </r>
  </si>
  <si>
    <t>("Cellular infiltration by granulocytes"[Title/Abstract]) AND ("Psoriasis"[Title/Abstract])</t>
  </si>
  <si>
    <t>Bacharach-Buhles, M., and P. Altmeyer.  Pustulosis Palmoplantaris. How Initial Ultrastructural Alterations Change into Vesicles and Pustules.  Acta Dermato-Venereologica. Supplementum, vol. 146, 1989, pp. 76 80. PubMed.</t>
  </si>
  <si>
    <t>Cellular infiltration by leukocytes</t>
  </si>
  <si>
    <t>ACKR1,ADIPOQ,ADM,ADRB2,AIM2,APOD,ARG1,CCL18,CCL22,CCN1,CCR7,CD2,CD274,CD47,CD48,CDC20,CES1,CHRNA9,CXCL10,CXCL8,CXCL9,DDIT4,DUSP1,FABP4,FABP5,FASN,FLT1,FOS,GJB2,GZMB,IDO1,IL36A,IL36G,IL36RN,IL6,IL6ST,IRF6,ISG15,LCN2,LTB,LTF,MMP12,MMP9,MUC1,NR3C2,NR4A1,PDK4,PIK3R1,PKP3,PPARG,PPP1R15A,PRKCQ,PRSS3,PTGS2,RAB27A,RAC2,RORA,RORC,RRM2,RSPO3,S100A8,S100A9,SELL,SERPINB3,SERPINE1,SFRP1,SLAMF7,SOCS3,SOD2,STAT1,STC1,THBS1,TIMP3,TNFAIP3,VTCN1,ZC3H12A</t>
  </si>
  <si>
    <r>
      <rPr>
        <sz val="11"/>
        <color theme="1"/>
        <rFont val="Calibri"/>
        <family val="2"/>
      </rPr>
      <t>ADM,ARG1,CCN1,CXCL8,DUSP1,FASN,FLT1,FOS,IL6,LCN2,MMP1,NR4A1,PPARG,PPP1R15A,SOD2,STC1,TF,</t>
    </r>
    <r>
      <rPr>
        <b/>
        <sz val="11"/>
        <color theme="1"/>
        <rFont val="Calibri"/>
        <family val="2"/>
      </rPr>
      <t>MMP9,PTGS2</t>
    </r>
  </si>
  <si>
    <t>("Cellular infiltration by leukocytes"[Title/Abstract]) AND ("Psoriasis"[Title/Abstract])</t>
  </si>
  <si>
    <t>Cellular infiltration by lymphocytes</t>
  </si>
  <si>
    <t>ACKR1,ADIPOQ,ADRB2,AIM2,APOD,CCL18,CCL22,CCR7,CD274,CDC20,CXCL8,CXCL9,DDIT4,GJB2,IL6,IL6ST,IRF6,ISG15,LTB,MMP9,MUC1,NR4A1,PIK3R1,PKP3,PPARG,PRKCQ,PTGS2,RORA,RORC,RRM2,STAT1,TIMP3,VTCN1,ZC3H12A</t>
  </si>
  <si>
    <r>
      <rPr>
        <sz val="11"/>
        <color theme="1"/>
        <rFont val="Calibri"/>
        <family val="2"/>
      </rPr>
      <t>CXCL8,IL6,NR4A1,PPARG,</t>
    </r>
    <r>
      <rPr>
        <b/>
        <sz val="11"/>
        <color theme="1"/>
        <rFont val="Calibri"/>
        <family val="2"/>
      </rPr>
      <t>MMP9,PTGS2</t>
    </r>
  </si>
  <si>
    <t>("Cellular infiltration by lymphocytes"[Title/Abstract]) AND ("Psoriasis"[Title/Abstract])</t>
  </si>
  <si>
    <t>Cellular infiltration by mononuclear leukocytes</t>
  </si>
  <si>
    <t>ACKR1,ADIPOQ,ADRB2,AIM2,APOD,CCL18,CCL22,CCR7,CD274,CDC20,CHRNA9,CXCL8,CXCL9,DDIT4,FLT1,GJB2,IL6,IL6ST,IRF6,ISG15,LTB,MMP12,MMP9,MUC1,NR4A1,PIK3R1,PKP3,PPARG,PRKCQ,PTGS2,RORA,RORC,RRM2,STAT1,TIMP3,VTCN1,ZC3H12A</t>
  </si>
  <si>
    <r>
      <rPr>
        <sz val="11"/>
        <color theme="1"/>
        <rFont val="Calibri"/>
        <family val="2"/>
      </rPr>
      <t>CXCL8,FLT1,IL6,MMP1,NR4A1,PPARG,</t>
    </r>
    <r>
      <rPr>
        <b/>
        <sz val="11"/>
        <color theme="1"/>
        <rFont val="Calibri"/>
        <family val="2"/>
      </rPr>
      <t>MMP9,PTGS2</t>
    </r>
  </si>
  <si>
    <t>("Cellular infiltration by mononuclear leukocytes"[Title/Abstract]) AND ("Psoriasis"[Title/Abstract])</t>
  </si>
  <si>
    <t>Cellular infiltration by myeloid cells</t>
  </si>
  <si>
    <t>ACKR1,ADIPOQ,ADM,ADRB2,AIM2,ARG1,CCN1,CCR7,CD2,CD274,CD47,CD48,CES1,CHRNA9,CXCL10,CXCL8,DDIT4,DUSP1,FABP4,FABP5,FLT1,FOS,GJB2,GZMB,IL36A,IL36G,IL6,IL6ST,IRF6,LCN2,LTB,MMP12,MMP9,MUC1,NR3C2,NR4A1,PDK4,PPARG,PPP1R15A,PRKCQ,PRSS3,PTGS2,RAB27A,RAC2,RORA,RRM2,RSPO3,S100A8,S100A9,SELL,SERPINB3,SERPINE1,SFRP1,SLAMF7,SOCS3,SOD2,STAT1,STC1,TIMP3,TNFAIP3,VTCN1</t>
  </si>
  <si>
    <r>
      <rPr>
        <sz val="11"/>
        <color theme="1"/>
        <rFont val="Calibri"/>
        <family val="2"/>
      </rPr>
      <t>ADM,ARG1,CCN1,CXCL8,DUSP1,FLT1,FOS,IL6,LCN2,MMP1,NR4A1,PPARG,PPP1R15A,SOD2,STC1,</t>
    </r>
    <r>
      <rPr>
        <b/>
        <sz val="11"/>
        <color theme="1"/>
        <rFont val="Calibri"/>
        <family val="2"/>
      </rPr>
      <t>MMP9,PTGS2</t>
    </r>
  </si>
  <si>
    <t>("Cellular infiltration by myeloid cells"[Title/Abstract]) AND ("Psoriasis"[Title/Abstract])</t>
  </si>
  <si>
    <t>Cellular infiltration by phagocytes</t>
  </si>
  <si>
    <t>ACKR1,ADIPOQ,ADM,ADRB2,AIM2,ARG1,CCN1,CD274,CES1,CHRNA9,CXCL10,CXCL8,DDIT4,DUSP1,FABP4,FABP5,FLT1,GJB2,GZMB,IL36A,IL36G,IL6,IL6ST,IRF6,LCN2,LTB,MMP12,MMP9,MUC1,NR3C2,PDK4,PPARG,PPP1R15A,PRKCQ,PTGS2,RAB27A,RAC2,RORA,RSPO3,S100A8,S100A9,SELL,SERPINB3,SERPINE1,SFRP1,SLAMF7,SOCS3,SOD2,STAT1,STC1,TIMP3,TNFAIP3,VTCN1,ZC3H12A</t>
  </si>
  <si>
    <r>
      <rPr>
        <sz val="11"/>
        <color theme="1"/>
        <rFont val="Calibri"/>
        <family val="2"/>
      </rPr>
      <t>ADM,ARG1,CCN1,CXCL8,DUSP1,FLT1,IL6,LCN2,MMP1,PPARG,PPP1R15A,SOD2,STC1,</t>
    </r>
    <r>
      <rPr>
        <b/>
        <sz val="11"/>
        <color theme="1"/>
        <rFont val="Calibri"/>
        <family val="2"/>
      </rPr>
      <t>MMP9,PTGS2</t>
    </r>
  </si>
  <si>
    <t>("Cellular infiltration by phagocytes"[Title/Abstract]) AND ("Psoriasis"[Title/Abstract])</t>
  </si>
  <si>
    <t>Chemotaxis</t>
  </si>
  <si>
    <t>ACKR1,AGTR1,AKAP12,CCL13,CCL18,CCL22,CCL27,CCN1,CCR7,CD47,CXCL1,CXCL10,CXCL11,CXCL13,CXCL8,CXCL9,DEFB4A,DUSP1,FGF2,FLT1,GPR15LG,HPSE,IL19,IL6,ISG15,JUN,LCK,LCN2,LIFR,MMP7,MMP9,MUC1,NEDD9,NR4A1,PPARG,PRKCQ,PTGS2,RAC2,RGS1,RHOB,S100A12,S100A7,S100A7A,S100A8,S100A9,SELL,SERPINE1,SOCS3,STAT1,THBS1,TYMP,VEGFA</t>
  </si>
  <si>
    <r>
      <rPr>
        <sz val="11"/>
        <color theme="1"/>
        <rFont val="Calibri"/>
        <family val="2"/>
      </rPr>
      <t>CCN1,CXCL8,DUSP1,FLT1,IL6,JUN,LCN2,NR4A1,PPARG,VEGFA,</t>
    </r>
    <r>
      <rPr>
        <b/>
        <sz val="11"/>
        <color theme="1"/>
        <rFont val="Calibri"/>
        <family val="2"/>
      </rPr>
      <t>MMP9,PTGS2</t>
    </r>
  </si>
  <si>
    <t>("Chemotaxis"[Title/Abstract]) AND ("Psoriasis"[Title/Abstract])</t>
  </si>
  <si>
    <t>Tagami, H., et al.  Inflammation and Immunity in Dermatophytosis.  Dermatologica, 179 Suppl 1, 1989, pp. 1 8. PubMed, https://doi.org/10.1159/000248439.</t>
  </si>
  <si>
    <t>Chemotaxis of leukocytes</t>
  </si>
  <si>
    <t>CCL13,CCL18,CCL22,CCL27,CCR7,CD47,CXCL1,CXCL10,CXCL11,CXCL13,CXCL8,CXCL9,DEFB4A,DUSP1,FLT1,GPR15LG,HPSE,IL6,ISG15,LCN2,MMP7,MMP9,NEDD9,PPARG,RAC2,RGS1,RHOB,S100A12,S100A7,S100A7A,S100A8,S100A9,SELL,SERPINE1,SOCS3,THBS1,VEGFA</t>
  </si>
  <si>
    <r>
      <rPr>
        <sz val="11"/>
        <color theme="1"/>
        <rFont val="Calibri"/>
        <family val="2"/>
      </rPr>
      <t>CXCL8,DUSP1,FLT1,IL6,LCN2,PPARG,VEGFA,</t>
    </r>
    <r>
      <rPr>
        <b/>
        <sz val="11"/>
        <color theme="1"/>
        <rFont val="Calibri"/>
        <family val="2"/>
      </rPr>
      <t>MMP9</t>
    </r>
  </si>
  <si>
    <t>("Chemotaxis of leukocytes"[Title/Abstract]) AND ("Psoriasis"[Title/Abstract])</t>
  </si>
  <si>
    <t>Rossi, Barbara, and Gabriela Constantin.  Anti-Selectin Therapy for the Treatment of Inflammatory Diseases.  Inflammation &amp; Allergy Drug Targets, vol. 7, no. 2, June 2008, pp. 85 93. PubMed, https://doi.org/10.2174/187152808785107633.</t>
  </si>
  <si>
    <t>Chemotaxis of lymphocytes</t>
  </si>
  <si>
    <t>CCL13,CCL18,CCL22,CCL27,CCR7,CXCL10,CXCL11,CXCL13,CXCL8,CXCL9,DEFB4A,GPR15LG,MMP9,NEDD9,RAC2,RGS1,S100A7,SOCS3,THBS1</t>
  </si>
  <si>
    <r>
      <rPr>
        <sz val="11"/>
        <color theme="1"/>
        <rFont val="Calibri"/>
        <family val="2"/>
      </rPr>
      <t>CXCL8,</t>
    </r>
    <r>
      <rPr>
        <b/>
        <sz val="11"/>
        <color theme="1"/>
        <rFont val="Calibri"/>
        <family val="2"/>
      </rPr>
      <t>MMP9</t>
    </r>
  </si>
  <si>
    <t>("Chemotaxis of lymphocytes"[Title/Abstract]) AND ("Psoriasis"[Title/Abstract])</t>
  </si>
  <si>
    <t>Chemotaxis of mononuclear leukocytes</t>
  </si>
  <si>
    <t>CCL13,CCL18,CCL22,CCL27,CCR7,CXCL10,CXCL11,CXCL13,CXCL8,CXCL9,DEFB4A,DUSP1,FLT1,GPR15LG,MMP9,NEDD9,RAC2,RGS1,S100A12,S100A7,S100A7A,SERPINE1,SOCS3,THBS1,VEGFA</t>
  </si>
  <si>
    <r>
      <rPr>
        <sz val="11"/>
        <color theme="1"/>
        <rFont val="Calibri"/>
        <family val="2"/>
      </rPr>
      <t>CXCL8,DUSP1,FLT1,VEGFA,</t>
    </r>
    <r>
      <rPr>
        <b/>
        <sz val="11"/>
        <color theme="1"/>
        <rFont val="Calibri"/>
        <family val="2"/>
      </rPr>
      <t>MMP9</t>
    </r>
  </si>
  <si>
    <t>("Chemotaxis of mononuclear leukocytes"[Title/Abstract]) AND ("Psoriasis"[Title/Abstract])</t>
  </si>
  <si>
    <t>Edema</t>
  </si>
  <si>
    <t>ADIPOQ,ADM,ADRB1,ADRB2,AGTR1,ATP1A2,CA4,CEACAM7,CHRM3,CXCL10,CXCL8,DDIT4,DUSP1,EPCAM,FEN1,FGF2,FLT1,GABRP,GAL,HSD11B1,IL6,JUN,KLF2,KMT2A,LHX2,LTF,MB,NFAT5,NR3C2,PDE9A,PDK4,PIK3R1,PPARG,PPP1R15A,PRSS3,PTGS2,SELL,SERPINB3,SERPINE1,SFRP1,STAT1,TBX3,TIMP3,TYMP,TYMS,VEGFA</t>
  </si>
  <si>
    <r>
      <rPr>
        <sz val="11"/>
        <color theme="1"/>
        <rFont val="Calibri"/>
        <family val="2"/>
      </rPr>
      <t>ADM,CHRM3,CXCL8,DUSP1,FLT1,GAL,HSD11B1,IL6,JUN,PPARG,PPP1R15A,</t>
    </r>
    <r>
      <rPr>
        <b/>
        <sz val="11"/>
        <color theme="1"/>
        <rFont val="Calibri"/>
        <family val="2"/>
      </rPr>
      <t>PTGS2</t>
    </r>
    <r>
      <rPr>
        <sz val="11"/>
        <color theme="1"/>
        <rFont val="Calibri"/>
        <family val="2"/>
      </rPr>
      <t>,TF,VEGFA</t>
    </r>
  </si>
  <si>
    <t>("Edema"[Title/Abstract]) AND ("Psoriasis"[Title/Abstract])</t>
  </si>
  <si>
    <t>Danno, K., et al.  Ultraviolet Radiation Suppresses Mouse-Ear Edema Induced by Topical Application of Arachidonic Acid.  Archives of Dermatological Research, vol. 282, no. 1, 1990, pp. 42 46. PubMed, https://doi.org/10.1007/BF00505644.</t>
  </si>
  <si>
    <t>Homing of leukocytes</t>
  </si>
  <si>
    <t>AOC3,CCL13,CCL18,CCL22,CCL27,CCR7,CD47,CXCL1,CXCL10,CXCL11,CXCL13,CXCL8,CXCL9,DEFB4A,DUSP1,FLT1,GATA3,GPR15LG,HPSE,IL6,ISG15,LCN2,MMP7,MMP9,NEDD9,PPARG,RAC2,RGS1,RHOB,S100A12,S100A7,S100A7A,S100A8,S100A9,SELL,SERPINE1,SOCS3,THBS1,VEGFA</t>
  </si>
  <si>
    <t>("Homing of leukocytes"[Title/Abstract]) AND ("Psoriasis"[Title/Abstract])</t>
  </si>
  <si>
    <t>Homing of lymphocytes</t>
  </si>
  <si>
    <t>AOC3,CCL13,CCL18,CCL22,CCL27,CCR7,CXCL10,CXCL11,CXCL13,CXCL8,CXCL9,DEFB4A,GATA3,GPR15LG,MMP9,NEDD9,RAC2,RGS1,S100A7,SELL,SOCS3,THBS1</t>
  </si>
  <si>
    <t>("Homing of lymphocytes"[Title/Abstract]) AND ("Psoriasis"[Title/Abstract])</t>
  </si>
  <si>
    <t>Homing of mononuclear leukocytes</t>
  </si>
  <si>
    <t>AOC3,CCL13,CCL18,CCL22,CCL27,CCR7,CXCL10,CXCL11,CXCL13,CXCL8,CXCL9,DEFB4A,DUSP1,FLT1,GATA3,GPR15LG,MMP9,NEDD9,RAC2,RGS1,S100A12,S100A7,S100A7A,SELL,SERPINE1,SOCS3,THBS1,VEGFA</t>
  </si>
  <si>
    <t>("Homing of mononuclear leukocytes"[Title/Abstract]) AND ("Psoriasis"[Title/Abstract])</t>
  </si>
  <si>
    <t>Homing of T lymphocytes</t>
  </si>
  <si>
    <t>CCL18,CCL22,CCL27,CCR7,CXCL10,CXCL11,CXCL13,CXCL8,CXCL9,DEFB4A,GATA3,RAC2,RGS1,S100A7,SELL,SOCS3,THBS1</t>
  </si>
  <si>
    <t>("Homing of T lymphocytes"[Title/Abstract]) AND ("Psoriasis"[Title/Abstract])</t>
  </si>
  <si>
    <t>Infiltration by neutrophils</t>
  </si>
  <si>
    <t>ACKR1,ADIPOQ,ADM,ADRB2,AIM2,CD274,CXCL8,DDIT4,DUSP1,FABP4,FABP5,GJB2,GZMB,IL36A,IL36G,IL6,IRF6,LCN2,MMP12,MMP9,PDK4,PTGS2,RAB27A,RAC2,RORA,RSPO3,S100A8,S100A9,SELL,SERPINE1,SFRP1,SOCS3,TNFAIP3,VTCN1</t>
  </si>
  <si>
    <r>
      <rPr>
        <sz val="11"/>
        <color theme="1"/>
        <rFont val="Calibri"/>
        <family val="2"/>
      </rPr>
      <t>ADM,CXCL8,DUSP1,IL6,LCN2,MMP1,PTGS2,</t>
    </r>
    <r>
      <rPr>
        <b/>
        <sz val="11"/>
        <color theme="1"/>
        <rFont val="Calibri"/>
        <family val="2"/>
      </rPr>
      <t>MMP9,PTGS2</t>
    </r>
  </si>
  <si>
    <t>("Infiltration by neutrophils"[Title/Abstract]) AND ("Psoriasis"[Title/Abstract])</t>
  </si>
  <si>
    <t>Ziboh, V. A., et al.  Biosynthesis of Lipoxygenase Products by Enzyme Preparations from Normal and Psoriatic Skin.  The Journal of Investigative Dermatology, vol. 83, no. 6, Dec. 1984, pp. 426 30. PubMed, https://doi.org/10.1111/1523-1747.ep12273519.</t>
  </si>
  <si>
    <t>Infiltration by T lymphocytes</t>
  </si>
  <si>
    <t>ACKR1,ADIPOQ,AIM2,APOD,CCL18,CCL22,CD274,CDC20,CXCL8,CXCL9,DDIT4,IL6,IL6ST,LTB,MMP9,MUC1,NR4A1,PIK3R1,PKP3,PRKCQ,PTGS2,RORA,RORC,STAT1,VTCN1</t>
  </si>
  <si>
    <r>
      <rPr>
        <sz val="11"/>
        <color theme="1"/>
        <rFont val="Calibri"/>
        <family val="2"/>
      </rPr>
      <t>CXCL8,IL6,NR4A1,PTGS2,</t>
    </r>
    <r>
      <rPr>
        <b/>
        <sz val="11"/>
        <color theme="1"/>
        <rFont val="Calibri"/>
        <family val="2"/>
      </rPr>
      <t>MMP9,PTGS2</t>
    </r>
  </si>
  <si>
    <t>("Infiltration by T lymphocytes"[Title/Abstract]) AND ("Psoriasis"[Title/Abstract])</t>
  </si>
  <si>
    <t>Inflammation of organ</t>
  </si>
  <si>
    <t>ACKR1,ACTA2,ADAMDEC1,ADIPOQ,ADM,ADRB1,ADRB2,AGTR1,AIM2,AKAP12,APOBEC3A,APOC1,APOD,ARG1,ATF3,ATP12A,BACH2,BCL2A1,BCL6,BHLHE40,BIRC5,C7,CA4,CAVIN2,CCL13,CCL18,CCL22,CCL27,CCN1,CCNA2,CCR7,CD2,CD24,CD274,CD47,CD48,CD52,CDK5R1,CEACAM7,CES1,CHI3L2,CHRM3,CHRNA9,CIDEC,CLDN8,CLEC7A,CXCL1,CXCL10,CXCL11,CXCL13,CXCL8,CXCL9,CYP1A1,CYP2E1,DDIT3,DDIT4,DDX17,DDX60L,DEFB4A,DHRS9,DSG2,DUSP1,EGR1,ELOVL3,EPSTI1,ERAP2,FABP4,FABP5,FADS2,FAM13A,FAR2,FASN,FBXO32,FGF2,FLT1,FOS,GABBR1,GABRP,GADD45B,GAL,GATA3,GBP1,GBP5,GPAM,GPD1,GPR15LG,GRIA2,GZMA,GZMB,HERC6,HLA-DPA1,HMGCS2,HORMAD1,HPSE,HSD11B1,HSD17B1,HSD3B1,IDO1,IFI27,IFI44,IFI44L,IFI6,IFIT1,IFIT3,IGFBP5,IL19,IL36G,IL36RN,IL37,IL6,IL6ST,IL7R,INSIG1,INSR,ISG15,IVL,JUN,KLF2,KLK10,KLK13,KLK6,KLK7,KLK8,KMT2A,KRT15,KRT16,KRT18,KRT6A,LAMP3,LCE3D,LCN2,LGALS2,LINC-PINT,LPL,LPP,LTB,LTF,LYVE1,LYZ,MALAT1,MKI67,MMP1,MMP12,MMP7,MMP9,MSMB,MUC1,MX1,MYBPC1,NAMPT,NFAT5,NFIL3,NLRX1,NR3C2,NR4A1,NR4A2,OAS1,OAS2,OASL,OSMR,PBK,PCDH9,PCK1,PDK4,PER1,PGLYRP4,PHLDA1,PIK3R1,PKP3,PLA2G2F,PLIN1,PLIN2,PMAIP1,PPARG,PPARGC1A,PRKAR2B,PRKCQ,PRSS3,PRSS3P1,PTGS2,RABGAP1L,RAC2,RGS1,RORA,RORC,RRM2,RSAD2,S100A12,S100A7,S100A8,S100A9,SELL,SERPINB13,SERPINB3,SERPINB4,SERPINE1,SIK1,SLC2A3,SLC6A14,SLC7A11,SMOX,SOCS2,SOCS3,SOD2,SOX17,SOX5,SPRR2A,STAT1,STC1,TAP2,TCIM,TF,TGM3,THBS1,TIAM2,TIMP3,TIMP4,TK1,TM4SF1,TNFAIP3,TNIP3,TRIP13,TYMP,TYMS,VEGFA,VNN1,VTCN1,XDH,ZBTB16,ZFP36</t>
  </si>
  <si>
    <r>
      <rPr>
        <sz val="11"/>
        <color theme="1"/>
        <rFont val="Calibri"/>
        <family val="2"/>
      </rPr>
      <t>ADM,ARG1,ATF3,BHLHE40,BIRC5,CCN1,CCNA2,CHRM3,CXCL8,DUSP1,EGR1,FASN,FLT1,FOS,GADD45B,GAL,HSD11B1,IL6,JUN,LCN2,LPL,MKI67,MMP1,NFIL3,NR4A1,NR4A2,PCK1,PER1,PPARG,PPARGC1A,SIK1,SLC2A3,SOCS2,SOD2,STC1,TF,VEGFA,ZFP36,PRSS3P1,</t>
    </r>
    <r>
      <rPr>
        <b/>
        <sz val="11"/>
        <color theme="1"/>
        <rFont val="Calibri"/>
        <family val="2"/>
      </rPr>
      <t>MMP9,PTGS2,CYP1A1</t>
    </r>
  </si>
  <si>
    <t>("Inflammation of organ"[Title/Abstract]) AND ("Psoriasis"[Title/Abstract])</t>
  </si>
  <si>
    <t>Inflammatory response</t>
  </si>
  <si>
    <t>ACKR1,ACP5,ADIPOQ,ADM,AGTR1,AOC3,APOBEC3A,ARG1,ATF3,BAG4,BCL6,CAMK2N1,CCL13,CCL18,CCL22,CCL27,CCR7,CD274,CD47,CD48,CDK5R1,CDO1,CLEC7A,CXCL1,CXCL10,CXCL11,CXCL13,CXCL8,CXCL9,DDIT3,DEFB4A,DNASE1L3,DUSP1,EGR1,EPSTI1,FABP4,FASN,FCHSD1,FGF2,FLT1,FOS,GATA3,GBP1,GPR15LG,GREM2,HERC6,HPSE,IDO1,IFI27,IFI44,IFI44L,IFI6,IFIT1,IFIT3,IL19,IL36RN,IL37,IL6,IL6ST,IRF6,ISG15,JUN,KRT16,LAMP3,LCN2,LGALS2,LINC01140,LPL,LTF,LYZ,MMP1,MMP7,MMP9,MUC1,MX1,NAMPT,NEDD9,NFIL3,NLRX1,NR1D1,NR3C2,NR4A1,NR4A2,OAS1,OAS2,OAS3,OASL,PBK,PDK4,PIK3R1,PLIN2,PPARG,PPARGC1A,PTGS2,PYCARD,RAB27A,RAC2,RGMA,RGS1,RHOB,RORA,RSAD2,RTP4,S100A12,S100A7,S100A7A,S100A8,S100A9,SELL,SERPINE1,SFRP1,SOCS3,SOD2,STAT1,THBS1,TNFAIP3,TRIM14,VEGFA,VNN1,VTCN1,ZBTB16,ZFP36</t>
  </si>
  <si>
    <r>
      <rPr>
        <sz val="11"/>
        <color theme="1"/>
        <rFont val="Calibri"/>
        <family val="2"/>
      </rPr>
      <t>ADM,ARG1,ATF3,CXCL8,DUSP1,EGR1,FASN,FLT1,FOS,GAL,IL6,JUN,LCN2,LPL,MMP1,NFIL3,NR4A1,NR4A2,PPARG,PPARGC1A,SOD2,TF,VEGFA,ZFP36,LINC01140,</t>
    </r>
    <r>
      <rPr>
        <b/>
        <sz val="11"/>
        <color theme="1"/>
        <rFont val="Calibri"/>
        <family val="2"/>
      </rPr>
      <t>MMP9,PTGS2</t>
    </r>
  </si>
  <si>
    <t>("Inflammatory response"[Title/Abstract]) AND ("Psoriasis"[Title/Abstract])</t>
  </si>
  <si>
    <t>Rosenberg, E. W., et al.  Microorganisms and Psoriasis.  Journal of the National Medical Association, vol. 86, no. 4, Apr. 1994, pp. 305 10. PubMed.</t>
  </si>
  <si>
    <t>Leukocyte migration</t>
  </si>
  <si>
    <t>ACKR1,ACP5,ADIPOQ,ADM,ADRB2,AIM2,AOC3,APOD,ARG1,BACH2,BAG4,BCL6,BHLHE40,CCL13,CCL18,CCL22,CCL27,CCN1,CCR7,CD2,CD274,CD47,CD48,CDC20,CES1,CHRNA9,CLEC7A,CXCL1,CXCL10,CXCL11,CXCL13,CXCL8,CXCL9,CYP1A1,CYP1B1,DDIT4,DEFB4A,DUSP1,EGR1,FABP4,FABP5,FASN,FLT1,FNIP1,FOS,GATA3,GJB2,GPR15LG,GPRC5A,GZMB,H19,HPSE,HYAL4,IDO1,IL36A,IL36G,IL36RN,IL37,IL6,IL6ST,IL7R,INSR,IRF6,ISG15,JUN,KCNK5,KLF2,LCK,LCN2,LTB,LTF,MAOA,MMP1,MMP12,MMP7,MMP9,MUC1,NEDD9,NFIL3,NR3C2,NR4A1,PDK4,PER1,PIK3R1,PKP3,PPARG,PPIF,PPP1R15A,PRKCQ,PRSS3,PTGS2,RAB27A,RAC2,RGS1,RHOB,RORA,RORC,RRM2,RSPO3,S100A12,S100A7,S100A7A,S100A8,S100A9,SELL,SERPINB3,SERPINE1,SFRP1,SLAMF7,SOCS3,SOD2,STAT1,STC1,THBS1,TIMP3,TNFAIP3,VEGFA,VTCN1,XDH,ZC3H12A</t>
  </si>
  <si>
    <r>
      <rPr>
        <sz val="11"/>
        <color theme="1"/>
        <rFont val="Calibri"/>
        <family val="2"/>
      </rPr>
      <t>ADM,ARG1,BHLHE40,CCN1,CXCL8,DUSP1,EGR1,FASN,FLT1,FOS,IL6,JUN,LCN2,MMP1,NFIL3,NR4A1,PER1,PPARG,PPP1R15A,SOD2,STC1,TF,VEGFA,</t>
    </r>
    <r>
      <rPr>
        <b/>
        <sz val="11"/>
        <color theme="1"/>
        <rFont val="Calibri"/>
        <family val="2"/>
      </rPr>
      <t>MMP9,PTGS2</t>
    </r>
    <r>
      <rPr>
        <sz val="11"/>
        <color theme="1"/>
        <rFont val="Calibri"/>
        <family val="2"/>
      </rPr>
      <t>,</t>
    </r>
    <r>
      <rPr>
        <b/>
        <sz val="11"/>
        <color theme="1"/>
        <rFont val="Calibri"/>
        <family val="2"/>
      </rPr>
      <t>CYP1A1</t>
    </r>
  </si>
  <si>
    <t>("Leukocyte migration"[Title/Abstract]) AND ("Psoriasis"[Title/Abstract])</t>
  </si>
  <si>
    <t>D Ambrosio, Daniele, et al.  Chemokine Receptors in Inflammation: An Overview.  Journal of Immunological Methods, vol. 273, nos. 1 2, Feb. 2003, pp. 3 13. PubMed, https://doi.org/10.1016/s0022-1759(02)00414-3.</t>
  </si>
  <si>
    <t>Lymphocyte migration</t>
  </si>
  <si>
    <t>ACKR1,ADIPOQ,AIM2,AOC3,APOD,BACH2,CCL18,CCL22,CCL27,CCR7,CD2,CD274,CD47,CD48,CDC20,CXCL1,CXCL10,CXCL11,CXCL13,CXCL8,CXCL9,DDIT4,DEFB4A,FABP5,FOS,GATA3,GPR15LG,GPRC5A,IL37,IL6,IL6ST,IL7R,INSR,JUN,KCNK5,KLF2,LCK,LTB,MMP9,MUC1,NFIL3,NR4A1,PIK3R1,PKP3,PRKCQ,PTGS2,RAC2,RGS1,RORA,RORC,S100A7,SELL,SERPINB3,SOCS3,STAT1,THBS1,VTCN1</t>
  </si>
  <si>
    <t>CXCL8,FOS,IL6,JUN,NFIL3,NR4A1,PTGS2,MMP9,PTGS2</t>
  </si>
  <si>
    <t>("Lymphocyte migration"[Title/Abstract]) AND ("Psoriasis"[Title/Abstract])</t>
  </si>
  <si>
    <t>Creamer, J. D., and J. N. Barker.  Vascular Proliferation and Angiogenic Factors in Psoriasis.  Clinical and Experimental Dermatology, vol. 20, no. 1, Jan. 1995, pp. 6 9. PubMed, https://doi.org/10.1111/j.1365-2230.1995.tb01274.x.</t>
  </si>
  <si>
    <t>Migration of cells</t>
  </si>
  <si>
    <t>ACKR1,ACP5,ACTA2,ADAMTS1,ADIPOQ,ADM,ADRB2,AGTR1,AIM2,AKAP12,AKR1B10,AOC3,APOBEC3A,APOBEC3B,APOC1,APOD,ARG1,ASPM,ATF3,ATP6V0A4,AURKA,BACH2,BAG4,BCAR3,BCL6,BHLHE40,BHLHE41,BIRC5,BTC,CAMK2N1,CAVIN2,CCL13,CCL18,CCL22,CCL27,CCN1,CCNA2,CCNB1,CCNB2,CCR7,CD2,CD24,CD274,CD47,CD48,CDC20,CDC42BPA,CDK1,CDK5R1,CDKN3,CDO1,CES1,CHRM3,CHRNA9,CLEC7A,CXCL1,CXCL10,CXCL11,CXCL13,CXCL8,CXCL9,CYP1A1,CYP1B1,DACT1,DDIT4,DDX17,DEFB4A,DHRS9,DLGAP5,DSG2,DUSP1,EGR1,ELAPOR1,EPCAM,ERAP2,FABP4,FABP5,FADS2,FASN,FBXO32,FBXO45,FEN1,FERMT2,FGF2,FLT1,FNBP1L,FNIP1,FOS,FOXC1,GABBR1,GAL,GATA3,GBP1,GJB2,GLDC,GPD1,GPR15LG,GPRC5A,GRIA2,GZMB,H19,HBP1,HES1,HPSE,HYAL4,ID4,IDO1,IFI27,IFIT1,IFIT3,IGFBP5,IGFBP6,IL19,IL36A,IL36G,IL36RN,IL37,IL6,IL6ST,IL7R,INHBB,INSIG1,INSR,IRF6,ISG15,JUN,KCNK5,KIF2C,KIF4A,KLF2,KLF9,KLK6,KLK7,KLRB1,KMT2A,KRT16,KRT18,KRT19,KRT6A,KRT6B,KYNU,LCK,LCN2,LHX2,LIFR,LINC01140,LPP,LRP8,LTB,LTF,LYVE1,MALAT1,MAOA,MEGF10,MELK,MMP1,MMP12,MMP7,MMP9,MRAS,MUC1,NAMPT,NCALD,NEDD9,NFAT5,NFIL3,NLRX1,NR1D1,NR3C2,NR4A1,NR4A2,OAS1,OIP5,OSBPL8,OSMR,PARP9,PBK,PDK4,PDZK1IP1,PER1,PHLDA1,PI3,PIK3R1,PKP3,PLAAT3,POLE2,POLR3G,PPARG,PPARGC1A,PPIF,PPP1R15A,PPP1R1B,PRKCQ,PRR11,PRSS27,PRSS3,PTGS2,RAB27A,RAC2,RAD51AP1,RGMA,RGS1,RHCG,RHOB,RHOBTB3,ROPN1,RORA,RORC,RRM2,RSPO3,S100A12,S100A7,S100A7A,S100A8,S100A9,SELL,SEPTIN11,SERPINB3,SERPINE1,SF1,SFRP1,SH3PXD2A-AS1,SH3RF1,SIK1,SLAMF7,SLC7A11,SLURP2,SOCS2,SOCS3,SOD2,SORBS1,SOX17,SOX8,SOX9,STAT1,STC1,TBX3,THBS1,TIAM2,TIMP3,TIMP4,TK1,TM4SF1,TMPRSS4,TNFAIP3,TPX2,TRIM14,TRIP13,TSC22D3,TTK,VEGFA,VTCN1,WIF1,XAF1,XDH,ZBTB16,ZC3H12A,ZFP36L1</t>
  </si>
  <si>
    <r>
      <rPr>
        <sz val="11"/>
        <color theme="1"/>
        <rFont val="Calibri"/>
        <family val="2"/>
      </rPr>
      <t>ADM,ARG1,ATF3,AURKA,BHLHE40,BIRC5,CCN1,CCNA2,CCNB2,CHRM3,CXCL8,DUSP1,EGR1,FASN,FLT1,FOS,GAL,GLDC,IL6,JUN,LCN2,MMP1,NFIL3,NR4A1,NR4A2,PER1,PPARG,PPARGC1A,PPP1R15A,SIK1,SOCS2,SOD2,STC1,TF,VEGFA,ZFP36,LINC01140,</t>
    </r>
    <r>
      <rPr>
        <b/>
        <sz val="11"/>
        <color theme="1"/>
        <rFont val="Calibri"/>
        <family val="2"/>
      </rPr>
      <t>CCNB1,CDK1,MMP9,PTGS2,CYP1A1</t>
    </r>
  </si>
  <si>
    <t>("Migration of cells"[Title/Abstract]) AND ("Psoriasis"[Title/Abstract])</t>
  </si>
  <si>
    <t>Migration of lymphatic system cells</t>
  </si>
  <si>
    <t>ACKR1,ADIPOQ,ADRB2,AIM2,AOC3,APOD,BACH2,CCL18,CCL22,CCL27,CCR7,CD2,CD274,CD47,CD48,CDC20,CXCL1,CXCL10,CXCL11,CXCL13,CXCL8,CXCL9,DDIT4,DEFB4A,FABP5,FOS,GATA3,GPR15LG,GPRC5A,IL37,IL6,IL6ST,IL7R,INSR,JUN,KCNK5,KLF2,LCK,LTB,MMP9,MUC1,NFIL3,NR4A1,PIK3R1,PKP3,PRKCQ,PTGS2,RAC2,RGS1,RORA,RORC,S100A7,SELL,SERPINB3,SOCS3,STAT1,THBS1,VEGFA,VTCN1</t>
  </si>
  <si>
    <r>
      <rPr>
        <sz val="11"/>
        <color theme="1"/>
        <rFont val="Calibri"/>
        <family val="2"/>
      </rPr>
      <t>CXCL8,FOS,IL6,JUN,NFIL3,NR4A1,VEGFA,</t>
    </r>
    <r>
      <rPr>
        <b/>
        <sz val="11"/>
        <color theme="1"/>
        <rFont val="Calibri"/>
        <family val="2"/>
      </rPr>
      <t>MMP9,PTGS2</t>
    </r>
  </si>
  <si>
    <t>("Migration of lymphatic system cells"[Title/Abstract]) AND ("Psoriasis"[Title/Abstract])</t>
  </si>
  <si>
    <t>Migration of mononuclear leukocytes</t>
  </si>
  <si>
    <t>ACKR1,ADIPOQ,AIM2,AOC3,APOD,BACH2,CCL18,CCL22,CCL27,CCR7,CD2,CD274,CD47,CD48,CDC20,CXCL1,CXCL10,CXCL11,CXCL13,CXCL8,CXCL9,DDIT4,DEFB4A,FABP5,FLT1,FOS,GATA3,GPR15LG,GPRC5A,IL37,IL6,IL6ST,IL7R,INSR,JUN,KCNK5,KLF2,LCK,LTB,MAOA,MMP9,MUC1,NFIL3,NR4A1,PIK3R1,PKP3,PPARG,PRKCQ,PTGS2,RAC2,RGS1,RORA,RORC,S100A7,SELL,SERPINB3,SOCS3,STAT1,THBS1,TIMP3,VEGFA,VTCN1</t>
  </si>
  <si>
    <r>
      <rPr>
        <sz val="11"/>
        <color theme="1"/>
        <rFont val="Calibri"/>
        <family val="2"/>
      </rPr>
      <t>CXCL8,FLT1,FOS,IL6,JUN,NFIL3,NR4A1,PPARG,VEGFA,</t>
    </r>
    <r>
      <rPr>
        <b/>
        <sz val="11"/>
        <color theme="1"/>
        <rFont val="Calibri"/>
        <family val="2"/>
      </rPr>
      <t>MMP9,PTGS2</t>
    </r>
  </si>
  <si>
    <t>("Migration of mononuclear leukocytes"[Title/Abstract]) AND ("Psoriasis"[Title/Abstract])</t>
  </si>
  <si>
    <t>Recruitment of lymphatic system cells</t>
  </si>
  <si>
    <t>AOC3,CCL22,CCL27,CCR7,CD47,CXCL10,CXCL11,CXCL13,CXCL8,CXCL9,FABP5,FOS,GPRC5A,IL37,IL6,JUN,PRKCQ,SELL,STAT1,VEGFA</t>
  </si>
  <si>
    <t>CXCL8,FOS,IL6,JUN,VEGFA</t>
  </si>
  <si>
    <t>("Recruitment of lymphatic system cells"[Title/Abstract]) AND ("Psoriasis"[Title/Abstract])</t>
  </si>
  <si>
    <t>Recruitment of lymphocytes</t>
  </si>
  <si>
    <t>AOC3,CCL22,CCL27,CCR7,CD47,CXCL10,CXCL11,CXCL13,CXCL8,CXCL9,FABP5,FOS,GPRC5A,IL37,IL6,JUN,PRKCQ,SELL,STAT1</t>
  </si>
  <si>
    <t>CXCL8,FOS,IL6,JUN</t>
  </si>
  <si>
    <t>("Recruitment of lymphocytes"[Title/Abstract]) AND ("Psoriasis"[Title/Abstract])</t>
  </si>
  <si>
    <t>Recruitment of mononuclear leukocytes</t>
  </si>
  <si>
    <t>ACP5,AOC3,CCL22,CCL27,CCN1,CCR7,CD47,CXCL10,CXCL11,CXCL13,CXCL8,CXCL9,FABP5,FOS,GPRC5A,IL37,IL6,IL6ST,JUN,PRKCQ,PTGS2,SELL,STAT1</t>
  </si>
  <si>
    <r>
      <rPr>
        <sz val="11"/>
        <color theme="1"/>
        <rFont val="Calibri"/>
        <family val="2"/>
      </rPr>
      <t>CCN1,CXCL8,FOS,IL6,JUN,</t>
    </r>
    <r>
      <rPr>
        <b/>
        <sz val="11"/>
        <color theme="1"/>
        <rFont val="Calibri"/>
        <family val="2"/>
      </rPr>
      <t>PTGS2</t>
    </r>
  </si>
  <si>
    <t>("Recruitment of mononuclear leukocytes"[Title/Abstract]) AND ("Psoriasis"[Title/Abstract])</t>
  </si>
  <si>
    <t>Recruitment of T lymphocytes</t>
  </si>
  <si>
    <t>CCL22,CCL27,CCR7,CD47,CXCL10,CXCL11,CXCL13,CXCL8,CXCL9,FABP5,FOS,GPRC5A,IL37,JUN,STAT1</t>
  </si>
  <si>
    <t>CXCL8,FOS,JUN</t>
  </si>
  <si>
    <t>("Recruitment of T lymphocytes"[Title/Abstract]) AND ("Psoriasis"[Title/Abstract])</t>
  </si>
  <si>
    <t>T cell migration</t>
  </si>
  <si>
    <t>ACKR1,ADIPOQ,AIM2,AOC3,APOD,BACH2,CCL18,CCL22,CCL27,CCR7,CD274,CD47,CDC20,CXCL1,CXCL10,CXCL11,CXCL13,CXCL8,CXCL9,DDIT4,DEFB4A,FABP5,GATA3,GPR15LG,IL6,IL6ST,INSR,KLF2,LCK,LTB,MMP9,MUC1,NR4A1,PIK3R1,PKP3,PRKCQ,PTGS2,RAC2,RGS1,RORA,RORC,S100A7,SELL,SOCS3,STAT1,THBS1,VTCN1</t>
  </si>
  <si>
    <t>("T cell migration"[Title/Abstract]) AND ("Psoriasis"[Title/Abstract])</t>
  </si>
  <si>
    <t>Weninger, Wolfgang, et al.  Naive T Cell Recruitment to Nonlymphoid Tissues: A Role for Endothelium-Expressed CC Chemokine Ligand 21 in Autoimmune Disease and Lymphoid Neogenesis.  Journal of Immunology (Baltimore, Md.: 1950), vol. 170, no. 9, May 2003, pp. 4638 48. PubMed, https://doi.org/10.4049/jimmunol.170.9.4638.</t>
  </si>
  <si>
    <t>Transmigration of cells</t>
  </si>
  <si>
    <t>ACKR1,ACTA2,AOC3,CCL22,CCR7,CD274,CD47,CXCL1,CXCL10,CXCL11,CXCL8,CXCL9,FABP5,IL37,IL6,ISG15,MMP9,PPARG,PRKCQ,RAC2,SELL,SERPINE1,SOCS3,STC1,TIMP3,VEGFA</t>
  </si>
  <si>
    <r>
      <rPr>
        <sz val="11"/>
        <color theme="1"/>
        <rFont val="Calibri"/>
        <family val="2"/>
      </rPr>
      <t>CXCL8,IL6,PPARG,STC1,VEGFA,</t>
    </r>
    <r>
      <rPr>
        <b/>
        <sz val="11"/>
        <color theme="1"/>
        <rFont val="Calibri"/>
        <family val="2"/>
      </rPr>
      <t>MMP9</t>
    </r>
  </si>
  <si>
    <t>("Transmigration of cells"[Title/Abstract]) AND ("Psoriasis"[Title/Abstract])</t>
  </si>
  <si>
    <t>Transmigration of leukocytes</t>
  </si>
  <si>
    <t>AOC3,CCR7,CD274,CD47,CXCL1,CXCL10,CXCL11,CXCL8,CXCL9,FABP5,IL37,IL6,MMP9,PPARG,PRKCQ,RAC2,SELL,SERPINE1,SOCS3,STC1,TIMP3,VEGFA</t>
  </si>
  <si>
    <t>("Transmigration of leukocytes"[Title/Abstract]) AND ("Psoriasis"[Title/Abstract])</t>
  </si>
  <si>
    <t>My Pathways</t>
  </si>
  <si>
    <t>-log(p-value)</t>
  </si>
  <si>
    <t>Molecules Count</t>
  </si>
  <si>
    <t>Query_TitleAbs</t>
  </si>
  <si>
    <t>Count_TitleAbs</t>
  </si>
  <si>
    <t>Known_in_PubMed</t>
  </si>
  <si>
    <t>Allergic inflammation</t>
  </si>
  <si>
    <t>ADRB2,BCL6,CHRM3,GATA3,GZMA,IL6</t>
  </si>
  <si>
    <t>CHRM3, IL6</t>
  </si>
  <si>
    <t>("Allergic inflammation"[Title/Abstract]) AND ("Psoriasis"[Title/Abstract])</t>
  </si>
  <si>
    <t>Yes</t>
  </si>
  <si>
    <r>
      <t>Djukanovic, R. “The Role of Co-Stimulation in Airway Inflammation.” </t>
    </r>
    <r>
      <rPr>
        <i/>
        <sz val="11"/>
        <color rgb="FF222222"/>
        <rFont val="Calibri"/>
        <family val="2"/>
        <scheme val="minor"/>
      </rPr>
      <t>Clinical and Experimental Allergy: Journal of the British Society for Allergy and Clinical Immunology</t>
    </r>
    <r>
      <rPr>
        <sz val="11"/>
        <color rgb="FF222222"/>
        <rFont val="Calibri"/>
        <family val="2"/>
        <scheme val="minor"/>
      </rPr>
      <t>, 30 Suppl 1, June 2000, pp. 46–50. </t>
    </r>
    <r>
      <rPr>
        <i/>
        <sz val="11"/>
        <color rgb="FF222222"/>
        <rFont val="Calibri"/>
        <family val="2"/>
        <scheme val="minor"/>
      </rPr>
      <t>PubMed</t>
    </r>
    <r>
      <rPr>
        <sz val="11"/>
        <color rgb="FF222222"/>
        <rFont val="Calibri"/>
        <family val="2"/>
        <scheme val="minor"/>
      </rPr>
      <t>, https://doi.org/10.1046/j.1365-2222.2000.00097.x.</t>
    </r>
  </si>
  <si>
    <t>Diabetic nephropathy</t>
  </si>
  <si>
    <t>AGTR1,INSR,NR3C2,WIF1</t>
  </si>
  <si>
    <t>-</t>
  </si>
  <si>
    <t>("Diabetic nephropathy"[Title/Abstract]) AND ("Psoriasis"[Title/Abstract])</t>
  </si>
  <si>
    <r>
      <t>Gupta, Subash C., et al. “Therapeutic Roles of Curcumin: Lessons Learned from Clinical Trials.” </t>
    </r>
    <r>
      <rPr>
        <i/>
        <sz val="11"/>
        <color rgb="FF222222"/>
        <rFont val="Calibri"/>
        <family val="2"/>
        <scheme val="minor"/>
      </rPr>
      <t>The AAPS Journal</t>
    </r>
    <r>
      <rPr>
        <sz val="11"/>
        <color rgb="FF222222"/>
        <rFont val="Calibri"/>
        <family val="2"/>
        <scheme val="minor"/>
      </rPr>
      <t>, vol. 15, no. 1, Jan. 2013, pp. 195–218. </t>
    </r>
    <r>
      <rPr>
        <i/>
        <sz val="11"/>
        <color rgb="FF222222"/>
        <rFont val="Calibri"/>
        <family val="2"/>
        <scheme val="minor"/>
      </rPr>
      <t>PubMed</t>
    </r>
    <r>
      <rPr>
        <sz val="11"/>
        <color rgb="FF222222"/>
        <rFont val="Calibri"/>
        <family val="2"/>
        <scheme val="minor"/>
      </rPr>
      <t>, https://doi.org/10.1208/s12248-012-9432-8.</t>
    </r>
  </si>
  <si>
    <t>Early-onset myopathy</t>
  </si>
  <si>
    <t>ACACB,FASN,MEGF10,SLC7A11</t>
  </si>
  <si>
    <t>FASN</t>
  </si>
  <si>
    <t>("Early-onset myopathy"[Title/Abstract]) AND ("Psoriasis"[Title/Abstract])</t>
  </si>
  <si>
    <t>No records found</t>
  </si>
  <si>
    <t>NA</t>
  </si>
  <si>
    <t>Familial insulin resistance</t>
  </si>
  <si>
    <t>ACACB,FASN,INSR,PCK1,PLIN2,PPARG,PPARGC1A</t>
  </si>
  <si>
    <t>FASN, PCK1, PPARG, PPARGC1A</t>
  </si>
  <si>
    <t>("Familial insulin resistance"[Title/Abstract]) AND ("Psoriasis"[Title/Abstract])</t>
  </si>
  <si>
    <t>Hyperglycemia</t>
  </si>
  <si>
    <t>ADIPOQ,CARHSP1,INSR,PCK1,PPARG</t>
  </si>
  <si>
    <t>PCK1, PPARG</t>
  </si>
  <si>
    <t>("Hyperglycemia"[Title/Abstract]) AND ("Psoriasis"[Title/Abstract])</t>
  </si>
  <si>
    <r>
      <t>Langan, Sinéad M., et al. “Prevalence of Metabolic Syndrome in Patients with Psoriasis: A Population-Based Study in the United Kingdom.” </t>
    </r>
    <r>
      <rPr>
        <i/>
        <sz val="11"/>
        <color rgb="FF222222"/>
        <rFont val="Calibri"/>
        <family val="2"/>
        <scheme val="minor"/>
      </rPr>
      <t>The Journal of Investigative Dermatology</t>
    </r>
    <r>
      <rPr>
        <sz val="11"/>
        <color rgb="FF222222"/>
        <rFont val="Calibri"/>
        <family val="2"/>
        <scheme val="minor"/>
      </rPr>
      <t>, vol. 132, no. 3 Pt 1, Mar. 2012, pp. 556–62. </t>
    </r>
    <r>
      <rPr>
        <i/>
        <sz val="11"/>
        <color rgb="FF222222"/>
        <rFont val="Calibri"/>
        <family val="2"/>
        <scheme val="minor"/>
      </rPr>
      <t>PubMed</t>
    </r>
    <r>
      <rPr>
        <sz val="11"/>
        <color rgb="FF222222"/>
        <rFont val="Calibri"/>
        <family val="2"/>
        <scheme val="minor"/>
      </rPr>
      <t>, https://doi.org/10.1038/jid.2011.365.</t>
    </r>
  </si>
  <si>
    <t>Hyperglyceridemia</t>
  </si>
  <si>
    <t>GPD1,INSR,LPL,PPARG</t>
  </si>
  <si>
    <t>LPL, PPARG</t>
  </si>
  <si>
    <t>("Hyperglyceridemia"[Title/Abstract]) AND ("Psoriasis"[Title/Abstract])</t>
  </si>
  <si>
    <t>Hypertriglyceridemia</t>
  </si>
  <si>
    <t>("Hypertriglyceridemia"[Title/Abstract]) AND ("Psoriasis"[Title/Abstract])</t>
  </si>
  <si>
    <r>
      <t>Cea Soriano, Lucía, et al. “Contemporary Epidemiology of Gout in the UK General Population.” </t>
    </r>
    <r>
      <rPr>
        <i/>
        <sz val="11"/>
        <color rgb="FF222222"/>
        <rFont val="Calibri"/>
        <family val="2"/>
        <scheme val="minor"/>
      </rPr>
      <t>Arthritis Research &amp; Therapy</t>
    </r>
    <r>
      <rPr>
        <sz val="11"/>
        <color rgb="FF222222"/>
        <rFont val="Calibri"/>
        <family val="2"/>
        <scheme val="minor"/>
      </rPr>
      <t>, vol. 13, no. 2, Mar. 2011, p. R39. </t>
    </r>
    <r>
      <rPr>
        <i/>
        <sz val="11"/>
        <color rgb="FF222222"/>
        <rFont val="Calibri"/>
        <family val="2"/>
        <scheme val="minor"/>
      </rPr>
      <t>PubMed</t>
    </r>
    <r>
      <rPr>
        <sz val="11"/>
        <color rgb="FF222222"/>
        <rFont val="Calibri"/>
        <family val="2"/>
        <scheme val="minor"/>
      </rPr>
      <t>, https://doi.org/10.1186/ar3272.</t>
    </r>
  </si>
  <si>
    <t>Ichthyosis</t>
  </si>
  <si>
    <t>ALOX12B,CYP4F22,KRT9,TGM1</t>
  </si>
  <si>
    <t>("Ichthyosis"[Title/Abstract]) AND ("Psoriasis"[Title/Abstract])</t>
  </si>
  <si>
    <r>
      <t>Sadick, N. S., et al. “Papulosquamous Dermatoses of AIDS.” </t>
    </r>
    <r>
      <rPr>
        <i/>
        <sz val="11"/>
        <color rgb="FF222222"/>
        <rFont val="Calibri"/>
        <family val="2"/>
        <scheme val="minor"/>
      </rPr>
      <t>Journal of the American Academy of Dermatology</t>
    </r>
    <r>
      <rPr>
        <sz val="11"/>
        <color rgb="FF222222"/>
        <rFont val="Calibri"/>
        <family val="2"/>
        <scheme val="minor"/>
      </rPr>
      <t>, vol. 22, no. 6 Pt 2, June 1990, pp. 1270–77. </t>
    </r>
    <r>
      <rPr>
        <i/>
        <sz val="11"/>
        <color rgb="FF222222"/>
        <rFont val="Calibri"/>
        <family val="2"/>
        <scheme val="minor"/>
      </rPr>
      <t>PubMed</t>
    </r>
    <r>
      <rPr>
        <sz val="11"/>
        <color rgb="FF222222"/>
        <rFont val="Calibri"/>
        <family val="2"/>
        <scheme val="minor"/>
      </rPr>
      <t>, https://doi.org/10.1016/0190-9622(90)70173-f.</t>
    </r>
  </si>
  <si>
    <t>Insulin resistance</t>
  </si>
  <si>
    <t>ADIPOQ,ADRB2,AGTR1,CARHSP1,CIDEC,FKBP5,IGFBP6,INSR,PPARG</t>
  </si>
  <si>
    <t>PPARG</t>
  </si>
  <si>
    <t>("Insulin resistance"[Title/Abstract]) AND ("Psoriasis"[Title/Abstract])</t>
  </si>
  <si>
    <r>
      <t>Lai, H., et al. “Vitamin D: Actions for the New Millennium.” </t>
    </r>
    <r>
      <rPr>
        <i/>
        <sz val="11"/>
        <color rgb="FF222222"/>
        <rFont val="Calibri"/>
        <family val="2"/>
        <scheme val="minor"/>
      </rPr>
      <t>Indian Journal of Clinical Biochemistry: IJCB</t>
    </r>
    <r>
      <rPr>
        <sz val="11"/>
        <color rgb="FF222222"/>
        <rFont val="Calibri"/>
        <family val="2"/>
        <scheme val="minor"/>
      </rPr>
      <t>, vol. 15, no. Suppl 1, Aug. 2000, pp. 158–68. </t>
    </r>
    <r>
      <rPr>
        <i/>
        <sz val="11"/>
        <color rgb="FF222222"/>
        <rFont val="Calibri"/>
        <family val="2"/>
        <scheme val="minor"/>
      </rPr>
      <t>PubMed</t>
    </r>
    <r>
      <rPr>
        <sz val="11"/>
        <color rgb="FF222222"/>
        <rFont val="Calibri"/>
        <family val="2"/>
        <scheme val="minor"/>
      </rPr>
      <t>, https://doi.org/10.1007/BF02867555.</t>
    </r>
  </si>
  <si>
    <t>Metabolic syndrome X</t>
  </si>
  <si>
    <t>ADRB2,AGTR1,IL37,KIF2C,KLF9,PPARG</t>
  </si>
  <si>
    <t>("Metabolic syndrome X"[Title/Abstract]) AND ("Psoriasis"[Title/Abstract])</t>
  </si>
  <si>
    <t>Neuroinflammation</t>
  </si>
  <si>
    <t>CMPK2,GBP5,IL6,PTGS2,PYCARD,STAT1</t>
  </si>
  <si>
    <t>IL6, PTGS2</t>
  </si>
  <si>
    <t>("Neuroinflammation"[Title/Abstract]) AND ("Psoriasis"[Title/Abstract])</t>
  </si>
  <si>
    <r>
      <t>Wilms, Henrik, et al. “Dimethylfumarate Inhibits Microglial and Astrocytic Inflammation by Suppressing the Synthesis of Nitric Oxide, IL-1beta, TNF-Alpha and IL-6 in an in-Vitro Model of Brain Inflammation.” </t>
    </r>
    <r>
      <rPr>
        <i/>
        <sz val="11"/>
        <color rgb="FF222222"/>
        <rFont val="Calibri"/>
        <family val="2"/>
        <scheme val="minor"/>
      </rPr>
      <t>Journal of Neuroinflammation</t>
    </r>
    <r>
      <rPr>
        <sz val="11"/>
        <color rgb="FF222222"/>
        <rFont val="Calibri"/>
        <family val="2"/>
        <scheme val="minor"/>
      </rPr>
      <t>, vol. 7, May 2010, p. 30. </t>
    </r>
    <r>
      <rPr>
        <i/>
        <sz val="11"/>
        <color rgb="FF222222"/>
        <rFont val="Calibri"/>
        <family val="2"/>
        <scheme val="minor"/>
      </rPr>
      <t>PubMed</t>
    </r>
    <r>
      <rPr>
        <sz val="11"/>
        <color rgb="FF222222"/>
        <rFont val="Calibri"/>
        <family val="2"/>
        <scheme val="minor"/>
      </rPr>
      <t>, https://doi.org/10.1186/1742-2094-7-30.</t>
    </r>
  </si>
  <si>
    <t>Occlusion of artery</t>
  </si>
  <si>
    <t>ACKR1,APOD,KLK10,PTGS2,TTK</t>
  </si>
  <si>
    <t>PTGS2</t>
  </si>
  <si>
    <t>("Occlusion of artery"[Title/Abstract]) AND ("Psoriasis"[Title/Abstract])</t>
  </si>
  <si>
    <t>Occlusion of blood vessel</t>
  </si>
  <si>
    <t>ACKR1,APOD,KLK10,PTGS2,TTK,VEGFA</t>
  </si>
  <si>
    <t>PTGS2, VEGFA</t>
  </si>
  <si>
    <t>("Occlusion of blood vessel"[Title/Abstract]) AND ("Psoriasis"[Title/Abstract])</t>
  </si>
  <si>
    <t>Oxidative stress</t>
  </si>
  <si>
    <t>BBS2,DDIT3,PPARG,PPARGC1A,SELL,SOD2</t>
  </si>
  <si>
    <t>PPARG, PPARGC1A, SOD2</t>
  </si>
  <si>
    <t>("Oxidative stress"[Title/Abstract]) AND ("Psoriasis"[Title/Abstract])</t>
  </si>
  <si>
    <r>
      <t>Trouba, Kevin J., et al. “Oxidative Stress and Its Role in Skin Disease.” </t>
    </r>
    <r>
      <rPr>
        <i/>
        <sz val="11"/>
        <color rgb="FF222222"/>
        <rFont val="Calibri"/>
        <family val="2"/>
        <scheme val="minor"/>
      </rPr>
      <t>Antioxidants &amp; Redox Signaling</t>
    </r>
    <r>
      <rPr>
        <sz val="11"/>
        <color rgb="FF222222"/>
        <rFont val="Calibri"/>
        <family val="2"/>
        <scheme val="minor"/>
      </rPr>
      <t>, vol. 4, no. 4, Aug. 2002, pp. 665–73. </t>
    </r>
    <r>
      <rPr>
        <i/>
        <sz val="11"/>
        <color rgb="FF222222"/>
        <rFont val="Calibri"/>
        <family val="2"/>
        <scheme val="minor"/>
      </rPr>
      <t>PubMed</t>
    </r>
    <r>
      <rPr>
        <sz val="11"/>
        <color rgb="FF222222"/>
        <rFont val="Calibri"/>
        <family val="2"/>
        <scheme val="minor"/>
      </rPr>
      <t>, https://doi.org/10.1089/15230860260220175.</t>
    </r>
  </si>
  <si>
    <t>Psoriasis</t>
  </si>
  <si>
    <t>CXCL1,CXCL8,IL36A,IL36RN</t>
  </si>
  <si>
    <t>("Psoriasis"[Title/Abstract]) AND ("Psoriasis"[Title/Abstract])</t>
  </si>
  <si>
    <r>
      <t>Gladman, D. D., and J. Brockbank. “Psoriatic Arthritis.” </t>
    </r>
    <r>
      <rPr>
        <i/>
        <sz val="11"/>
        <color rgb="FF222222"/>
        <rFont val="Calibri"/>
        <family val="2"/>
        <scheme val="minor"/>
      </rPr>
      <t>Expert Opinion on Investigational Drugs</t>
    </r>
    <r>
      <rPr>
        <sz val="11"/>
        <color rgb="FF222222"/>
        <rFont val="Calibri"/>
        <family val="2"/>
        <scheme val="minor"/>
      </rPr>
      <t>, vol. 9, no. 7, July 2000, pp. 1511–22. </t>
    </r>
    <r>
      <rPr>
        <i/>
        <sz val="11"/>
        <color rgb="FF222222"/>
        <rFont val="Calibri"/>
        <family val="2"/>
        <scheme val="minor"/>
      </rPr>
      <t>PubMed</t>
    </r>
    <r>
      <rPr>
        <sz val="11"/>
        <color rgb="FF222222"/>
        <rFont val="Calibri"/>
        <family val="2"/>
        <scheme val="minor"/>
      </rPr>
      <t>, https://doi.org/10.1517/13543784.9.7.1511.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</si>
</sst>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scheme val="minor"/>
    </font>
    <font>
      <sz val="10"/>
      <color rgb="FFFFFFFF"/>
      <name val="Calibri"/>
      <family val="2"/>
      <scheme val="minor"/>
    </font>
    <font>
      <sz val="10"/>
      <color theme="1"/>
      <name val="Calibri"/>
      <family val="2"/>
      <scheme val="minor"/>
    </font>
    <font>
      <b/>
      <sz val="10"/>
      <color rgb="FFFFFFFF"/>
      <name val="Calibri"/>
      <family val="2"/>
      <scheme val="minor"/>
    </font>
    <font>
      <b/>
      <sz val="10"/>
      <color theme="1"/>
      <name val="Calibri"/>
      <family val="2"/>
      <scheme val="minor"/>
    </font>
    <font>
      <sz val="10"/>
      <color rgb="FF222222"/>
      <name val="Calibri"/>
      <family val="2"/>
      <scheme val="minor"/>
    </font>
    <font>
      <i/>
      <sz val="10"/>
      <color rgb="FF222222"/>
      <name val="Calibri"/>
      <family val="2"/>
      <scheme val="minor"/>
    </font>
    <font>
      <sz val="11"/>
      <color theme="1"/>
      <name val="Calibri"/>
      <family val="2"/>
    </font>
    <font>
      <b/>
      <sz val="11"/>
      <color theme="0"/>
      <name val="Calibri"/>
      <family val="2"/>
    </font>
    <font>
      <b/>
      <sz val="11"/>
      <color theme="1"/>
      <name val="Calibri"/>
      <family val="2"/>
    </font>
    <font>
      <b/>
      <sz val="11"/>
      <color theme="1"/>
      <name val="Calibri"/>
      <family val="2"/>
      <scheme val="minor"/>
    </font>
    <font>
      <b/>
      <sz val="11"/>
      <color rgb="FFFFFFFF"/>
      <name val="Calibri"/>
      <family val="2"/>
    </font>
    <font>
      <b/>
      <sz val="11"/>
      <color rgb="FFFFFFFF"/>
      <name val="Calibri"/>
      <family val="2"/>
      <scheme val="minor"/>
    </font>
    <font>
      <sz val="11"/>
      <color rgb="FFFFFFFF"/>
      <name val="Calibri"/>
      <family val="2"/>
      <scheme val="minor"/>
    </font>
    <font>
      <b/>
      <sz val="11"/>
      <color rgb="FF000000"/>
      <name val="Calibri"/>
      <family val="2"/>
    </font>
    <font>
      <sz val="11"/>
      <color rgb="FF000000"/>
      <name val="Calibri"/>
      <family val="2"/>
    </font>
    <font>
      <sz val="11"/>
      <color rgb="FF222222"/>
      <name val="Calibri"/>
      <family val="2"/>
      <scheme val="minor"/>
    </font>
    <font>
      <i/>
      <sz val="11"/>
      <color rgb="FF222222"/>
      <name val="Calibri"/>
      <family val="2"/>
      <scheme val="minor"/>
    </font>
  </fonts>
  <fills count="8">
    <fill>
      <patternFill patternType="none"/>
    </fill>
    <fill>
      <patternFill patternType="gray125"/>
    </fill>
    <fill>
      <patternFill patternType="solid">
        <fgColor rgb="FF073763"/>
        <bgColor rgb="FF073763"/>
      </patternFill>
    </fill>
    <fill>
      <patternFill patternType="solid">
        <fgColor theme="0"/>
        <bgColor theme="0"/>
      </patternFill>
    </fill>
    <fill>
      <patternFill patternType="solid">
        <fgColor rgb="FFFFFFFF"/>
        <bgColor rgb="FFFFFFFF"/>
      </patternFill>
    </fill>
    <fill>
      <patternFill patternType="solid">
        <fgColor rgb="FFF3F3F3"/>
        <bgColor rgb="FFF3F3F3"/>
      </patternFill>
    </fill>
    <fill>
      <patternFill patternType="solid">
        <fgColor rgb="FF1F3864"/>
        <bgColor rgb="FF1F3864"/>
      </patternFill>
    </fill>
    <fill>
      <patternFill patternType="solid">
        <fgColor rgb="FFFFFF00"/>
        <bgColor rgb="FFFFFF0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3" fillId="2" borderId="0" xfId="0" applyFont="1" applyFill="1" applyAlignment="1">
      <alignment horizontal="center"/>
    </xf>
    <xf numFmtId="0" fontId="4" fillId="0" borderId="0" xfId="0" applyFont="1"/>
    <xf numFmtId="0" fontId="4" fillId="3" borderId="0" xfId="0" applyFont="1" applyFill="1"/>
    <xf numFmtId="0" fontId="4" fillId="0" borderId="0" xfId="0" applyFont="1" applyAlignment="1">
      <alignment wrapText="1"/>
    </xf>
    <xf numFmtId="0" fontId="5" fillId="2" borderId="1" xfId="0" applyFont="1" applyFill="1" applyBorder="1" applyAlignment="1">
      <alignment horizontal="center"/>
    </xf>
    <xf numFmtId="0" fontId="5" fillId="2" borderId="1" xfId="0" applyFont="1" applyFill="1" applyBorder="1" applyAlignment="1">
      <alignment horizontal="center" wrapText="1"/>
    </xf>
    <xf numFmtId="0" fontId="5" fillId="2" borderId="0" xfId="0" applyFont="1" applyFill="1" applyAlignment="1">
      <alignment horizontal="center"/>
    </xf>
    <xf numFmtId="0" fontId="6" fillId="3" borderId="1" xfId="0" applyFont="1" applyFill="1" applyBorder="1"/>
    <xf numFmtId="11" fontId="4" fillId="3" borderId="1" xfId="0" applyNumberFormat="1" applyFont="1" applyFill="1" applyBorder="1"/>
    <xf numFmtId="0" fontId="4" fillId="3" borderId="1" xfId="0" applyFont="1" applyFill="1" applyBorder="1"/>
    <xf numFmtId="0" fontId="4" fillId="3" borderId="1" xfId="0" applyFont="1" applyFill="1" applyBorder="1" applyAlignment="1">
      <alignment wrapText="1"/>
    </xf>
    <xf numFmtId="0" fontId="4" fillId="4" borderId="0" xfId="0" applyFont="1" applyFill="1"/>
    <xf numFmtId="0" fontId="7" fillId="0" borderId="0" xfId="0" applyFont="1"/>
    <xf numFmtId="0" fontId="4" fillId="5" borderId="0" xfId="0" applyFont="1" applyFill="1"/>
    <xf numFmtId="0" fontId="6" fillId="4" borderId="1" xfId="0" applyFont="1" applyFill="1" applyBorder="1"/>
    <xf numFmtId="0" fontId="5" fillId="2" borderId="0" xfId="0" applyFont="1" applyFill="1" applyAlignment="1">
      <alignment horizontal="center" wrapText="1"/>
    </xf>
    <xf numFmtId="0" fontId="4" fillId="3" borderId="0" xfId="0" applyFont="1" applyFill="1" applyAlignment="1">
      <alignment wrapText="1"/>
    </xf>
    <xf numFmtId="0" fontId="5" fillId="0" borderId="0" xfId="0" applyFont="1" applyAlignment="1">
      <alignment horizontal="center" wrapText="1"/>
    </xf>
    <xf numFmtId="0" fontId="10" fillId="6" borderId="0" xfId="0" applyFont="1" applyFill="1"/>
    <xf numFmtId="0" fontId="11" fillId="0" borderId="0" xfId="0" applyFont="1"/>
    <xf numFmtId="0" fontId="2" fillId="0" borderId="0" xfId="0" applyFont="1"/>
    <xf numFmtId="0" fontId="9" fillId="7" borderId="0" xfId="0" applyFont="1" applyFill="1"/>
    <xf numFmtId="0" fontId="9" fillId="0" borderId="0" xfId="0" applyFont="1"/>
    <xf numFmtId="0" fontId="9" fillId="7" borderId="0" xfId="0" applyFont="1" applyFill="1" applyAlignment="1">
      <alignment wrapText="1"/>
    </xf>
    <xf numFmtId="0" fontId="9" fillId="0" borderId="0" xfId="0" applyFont="1" applyAlignment="1">
      <alignment wrapText="1"/>
    </xf>
    <xf numFmtId="0" fontId="0" fillId="0" borderId="0" xfId="0" applyAlignment="1">
      <alignment wrapText="1"/>
    </xf>
    <xf numFmtId="0" fontId="13" fillId="2" borderId="2" xfId="0" applyFont="1" applyFill="1" applyBorder="1" applyAlignment="1">
      <alignment horizontal="center" vertical="top" wrapText="1"/>
    </xf>
    <xf numFmtId="0" fontId="13" fillId="2" borderId="0" xfId="0" applyFont="1" applyFill="1" applyAlignment="1">
      <alignment horizontal="center" wrapText="1"/>
    </xf>
    <xf numFmtId="0" fontId="14" fillId="2" borderId="0" xfId="0" applyFont="1" applyFill="1" applyAlignment="1">
      <alignment horizontal="center"/>
    </xf>
    <xf numFmtId="0" fontId="15" fillId="2" borderId="0" xfId="0" applyFont="1" applyFill="1" applyAlignment="1">
      <alignment horizontal="center" wrapText="1"/>
    </xf>
    <xf numFmtId="0" fontId="16" fillId="0" borderId="0" xfId="0" applyFont="1"/>
    <xf numFmtId="0" fontId="17" fillId="0" borderId="0" xfId="0" applyFont="1" applyAlignment="1">
      <alignment horizontal="right"/>
    </xf>
    <xf numFmtId="0" fontId="17" fillId="0" borderId="0" xfId="0" applyFont="1"/>
    <xf numFmtId="0" fontId="18" fillId="0" borderId="0" xfId="0" applyFont="1"/>
    <xf numFmtId="0" fontId="1" fillId="0" borderId="0" xfId="0" applyFont="1"/>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000"/>
  <sheetViews>
    <sheetView workbookViewId="0">
      <pane xSplit="1" topLeftCell="B1" activePane="topRight" state="frozen"/>
      <selection pane="topRight" activeCell="E17" sqref="E17"/>
    </sheetView>
  </sheetViews>
  <sheetFormatPr defaultColWidth="14.44140625" defaultRowHeight="15" customHeight="1" x14ac:dyDescent="0.3"/>
  <cols>
    <col min="1" max="1" width="34.6640625" style="2" customWidth="1"/>
    <col min="2" max="2" width="15.44140625" style="2" customWidth="1"/>
    <col min="3" max="3" width="8.5546875" style="2" customWidth="1"/>
    <col min="4" max="4" width="10.109375" style="2" customWidth="1"/>
    <col min="5" max="5" width="48" style="2" customWidth="1"/>
    <col min="6" max="6" width="25.44140625" style="2" customWidth="1"/>
    <col min="7" max="7" width="71" style="2" customWidth="1"/>
    <col min="8" max="8" width="72.88671875" style="2" customWidth="1"/>
    <col min="9" max="18" width="72.6640625" style="2" customWidth="1"/>
    <col min="19" max="16384" width="14.44140625" style="2"/>
  </cols>
  <sheetData>
    <row r="1" spans="1:18" ht="14.25" customHeight="1" x14ac:dyDescent="0.3">
      <c r="A1" s="5" t="s">
        <v>0</v>
      </c>
      <c r="B1" s="5" t="s">
        <v>1</v>
      </c>
      <c r="C1" s="5" t="s">
        <v>2</v>
      </c>
      <c r="D1" s="5" t="s">
        <v>3</v>
      </c>
      <c r="E1" s="6" t="s">
        <v>4</v>
      </c>
      <c r="F1" s="16" t="s">
        <v>34</v>
      </c>
      <c r="G1" s="7" t="s">
        <v>5</v>
      </c>
      <c r="H1" s="6" t="s">
        <v>6</v>
      </c>
      <c r="I1" s="1"/>
      <c r="J1" s="1"/>
      <c r="K1" s="1"/>
      <c r="L1" s="1"/>
      <c r="M1" s="1"/>
      <c r="N1" s="1"/>
      <c r="O1" s="1"/>
      <c r="P1" s="1"/>
      <c r="Q1" s="1"/>
      <c r="R1" s="1"/>
    </row>
    <row r="2" spans="1:18" ht="14.25" customHeight="1" x14ac:dyDescent="0.3">
      <c r="A2" s="8" t="s">
        <v>7</v>
      </c>
      <c r="B2" s="9">
        <v>9.66</v>
      </c>
      <c r="C2" s="9">
        <v>0.245</v>
      </c>
      <c r="D2" s="10">
        <v>3.464</v>
      </c>
      <c r="E2" s="11" t="s">
        <v>8</v>
      </c>
      <c r="F2" s="17" t="s">
        <v>33</v>
      </c>
      <c r="G2" s="12" t="s">
        <v>9</v>
      </c>
      <c r="H2" s="13" t="s">
        <v>25</v>
      </c>
      <c r="I2" s="3"/>
      <c r="J2" s="3"/>
      <c r="K2" s="3"/>
      <c r="L2" s="3"/>
      <c r="M2" s="3"/>
      <c r="N2" s="3"/>
      <c r="O2" s="3"/>
      <c r="P2" s="3"/>
      <c r="Q2" s="3"/>
      <c r="R2" s="3"/>
    </row>
    <row r="3" spans="1:18" ht="14.25" customHeight="1" x14ac:dyDescent="0.3">
      <c r="A3" s="8" t="s">
        <v>10</v>
      </c>
      <c r="B3" s="9">
        <v>11.6</v>
      </c>
      <c r="C3" s="9">
        <v>0.21099999999999999</v>
      </c>
      <c r="D3" s="10">
        <v>2.5</v>
      </c>
      <c r="E3" s="11" t="s">
        <v>11</v>
      </c>
      <c r="F3" s="17" t="s">
        <v>32</v>
      </c>
      <c r="G3" s="14" t="s">
        <v>12</v>
      </c>
      <c r="H3" s="13" t="s">
        <v>26</v>
      </c>
      <c r="I3" s="3"/>
      <c r="J3" s="3"/>
      <c r="K3" s="3"/>
      <c r="L3" s="3"/>
      <c r="M3" s="3"/>
      <c r="N3" s="3"/>
      <c r="O3" s="3"/>
      <c r="P3" s="3"/>
      <c r="Q3" s="3"/>
      <c r="R3" s="3"/>
    </row>
    <row r="4" spans="1:18" ht="14.25" customHeight="1" x14ac:dyDescent="0.3">
      <c r="A4" s="8" t="s">
        <v>13</v>
      </c>
      <c r="B4" s="9">
        <v>6.11</v>
      </c>
      <c r="C4" s="9">
        <v>0.122</v>
      </c>
      <c r="D4" s="10">
        <v>2.3090000000000002</v>
      </c>
      <c r="E4" s="11" t="s">
        <v>14</v>
      </c>
      <c r="F4" s="17"/>
      <c r="G4" s="12" t="s">
        <v>15</v>
      </c>
      <c r="H4" s="13" t="s">
        <v>27</v>
      </c>
      <c r="I4" s="3"/>
      <c r="J4" s="3"/>
      <c r="K4" s="3"/>
      <c r="L4" s="3"/>
      <c r="M4" s="3"/>
      <c r="N4" s="3"/>
      <c r="O4" s="3"/>
      <c r="P4" s="3"/>
      <c r="Q4" s="3"/>
      <c r="R4" s="3"/>
    </row>
    <row r="5" spans="1:18" ht="14.25" customHeight="1" x14ac:dyDescent="0.3">
      <c r="A5" s="8" t="s">
        <v>16</v>
      </c>
      <c r="B5" s="9">
        <v>12.3</v>
      </c>
      <c r="C5" s="9">
        <v>0.12</v>
      </c>
      <c r="D5" s="10">
        <v>2.2000000000000002</v>
      </c>
      <c r="E5" s="11" t="s">
        <v>17</v>
      </c>
      <c r="F5" s="17"/>
      <c r="G5" s="14" t="s">
        <v>18</v>
      </c>
      <c r="H5" s="13" t="s">
        <v>28</v>
      </c>
      <c r="I5" s="3"/>
      <c r="J5" s="3"/>
      <c r="K5" s="3"/>
      <c r="L5" s="3"/>
      <c r="M5" s="3"/>
      <c r="N5" s="3"/>
      <c r="O5" s="3"/>
      <c r="P5" s="3"/>
      <c r="Q5" s="3"/>
      <c r="R5" s="3"/>
    </row>
    <row r="6" spans="1:18" ht="14.25" customHeight="1" x14ac:dyDescent="0.3">
      <c r="A6" s="15" t="s">
        <v>19</v>
      </c>
      <c r="B6" s="9">
        <v>4.7</v>
      </c>
      <c r="C6" s="9">
        <v>0.44400000000000001</v>
      </c>
      <c r="D6" s="10">
        <v>2</v>
      </c>
      <c r="E6" s="11" t="s">
        <v>20</v>
      </c>
      <c r="F6" s="17"/>
      <c r="G6" s="12" t="s">
        <v>21</v>
      </c>
      <c r="H6" s="2" t="s">
        <v>29</v>
      </c>
      <c r="I6" s="3"/>
      <c r="J6" s="3"/>
      <c r="K6" s="3"/>
      <c r="L6" s="3"/>
      <c r="M6" s="3"/>
      <c r="N6" s="3"/>
      <c r="O6" s="3"/>
      <c r="P6" s="3"/>
      <c r="Q6" s="3"/>
      <c r="R6" s="3"/>
    </row>
    <row r="7" spans="1:18" ht="14.25" customHeight="1" x14ac:dyDescent="0.3">
      <c r="A7" s="8" t="s">
        <v>22</v>
      </c>
      <c r="B7" s="9">
        <v>6.73</v>
      </c>
      <c r="C7" s="9">
        <v>0.42899999999999999</v>
      </c>
      <c r="D7" s="10">
        <v>2</v>
      </c>
      <c r="E7" s="11" t="s">
        <v>23</v>
      </c>
      <c r="F7" s="17" t="s">
        <v>31</v>
      </c>
      <c r="G7" s="14" t="s">
        <v>24</v>
      </c>
      <c r="H7" s="13" t="s">
        <v>30</v>
      </c>
      <c r="I7" s="3"/>
      <c r="J7" s="3"/>
      <c r="K7" s="3"/>
      <c r="L7" s="3"/>
      <c r="M7" s="3"/>
      <c r="N7" s="3"/>
      <c r="O7" s="3"/>
      <c r="P7" s="3"/>
      <c r="Q7" s="3"/>
      <c r="R7" s="3"/>
    </row>
    <row r="8" spans="1:18" ht="13.8" x14ac:dyDescent="0.3">
      <c r="E8" s="4"/>
      <c r="F8" s="4"/>
    </row>
    <row r="9" spans="1:18" ht="13.8" x14ac:dyDescent="0.3">
      <c r="E9" s="4"/>
      <c r="F9" s="4"/>
    </row>
    <row r="10" spans="1:18" ht="13.8" x14ac:dyDescent="0.3">
      <c r="E10" s="4"/>
      <c r="F10" s="4"/>
    </row>
    <row r="11" spans="1:18" ht="13.8" x14ac:dyDescent="0.3">
      <c r="E11" s="4"/>
      <c r="F11" s="4"/>
    </row>
    <row r="12" spans="1:18" ht="13.8" x14ac:dyDescent="0.3">
      <c r="E12" s="4"/>
      <c r="F12" s="4"/>
    </row>
    <row r="13" spans="1:18" ht="13.8" x14ac:dyDescent="0.3">
      <c r="E13" s="4"/>
      <c r="F13" s="18"/>
      <c r="G13" s="18"/>
    </row>
    <row r="14" spans="1:18" ht="13.8" x14ac:dyDescent="0.3">
      <c r="E14" s="4"/>
      <c r="F14" s="4"/>
    </row>
    <row r="15" spans="1:18" ht="13.8" x14ac:dyDescent="0.3">
      <c r="E15" s="4"/>
      <c r="F15" s="4"/>
    </row>
    <row r="16" spans="1:18" ht="13.8" x14ac:dyDescent="0.3">
      <c r="E16" s="4"/>
      <c r="F16" s="4"/>
    </row>
    <row r="17" spans="5:6" ht="13.8" x14ac:dyDescent="0.3">
      <c r="E17" s="4"/>
      <c r="F17" s="4"/>
    </row>
    <row r="18" spans="5:6" ht="13.8" x14ac:dyDescent="0.3">
      <c r="E18" s="4"/>
      <c r="F18" s="4"/>
    </row>
    <row r="19" spans="5:6" ht="13.8" x14ac:dyDescent="0.3">
      <c r="E19" s="4"/>
      <c r="F19" s="4"/>
    </row>
    <row r="20" spans="5:6" ht="13.8" x14ac:dyDescent="0.3">
      <c r="E20" s="4"/>
      <c r="F20" s="4"/>
    </row>
    <row r="21" spans="5:6" ht="13.8" x14ac:dyDescent="0.3">
      <c r="E21" s="4"/>
      <c r="F21" s="4"/>
    </row>
    <row r="22" spans="5:6" ht="13.8" x14ac:dyDescent="0.3">
      <c r="E22" s="4"/>
      <c r="F22" s="4"/>
    </row>
    <row r="23" spans="5:6" ht="13.8" x14ac:dyDescent="0.3">
      <c r="E23" s="4"/>
      <c r="F23" s="4"/>
    </row>
    <row r="24" spans="5:6" ht="13.8" x14ac:dyDescent="0.3">
      <c r="E24" s="4"/>
      <c r="F24" s="4"/>
    </row>
    <row r="25" spans="5:6" ht="13.8" x14ac:dyDescent="0.3">
      <c r="E25" s="4"/>
      <c r="F25" s="4"/>
    </row>
    <row r="26" spans="5:6" ht="13.8" x14ac:dyDescent="0.3">
      <c r="E26" s="4"/>
      <c r="F26" s="4"/>
    </row>
    <row r="27" spans="5:6" ht="13.8" x14ac:dyDescent="0.3">
      <c r="E27" s="4"/>
      <c r="F27" s="4"/>
    </row>
    <row r="28" spans="5:6" ht="13.8" x14ac:dyDescent="0.3">
      <c r="E28" s="4"/>
      <c r="F28" s="4"/>
    </row>
    <row r="29" spans="5:6" ht="13.8" x14ac:dyDescent="0.3">
      <c r="E29" s="4"/>
      <c r="F29" s="4"/>
    </row>
    <row r="30" spans="5:6" ht="13.8" x14ac:dyDescent="0.3">
      <c r="E30" s="4"/>
      <c r="F30" s="4"/>
    </row>
    <row r="31" spans="5:6" ht="13.8" x14ac:dyDescent="0.3">
      <c r="E31" s="4"/>
      <c r="F31" s="4"/>
    </row>
    <row r="32" spans="5:6" ht="13.8" x14ac:dyDescent="0.3">
      <c r="E32" s="4"/>
      <c r="F32" s="4"/>
    </row>
    <row r="33" spans="5:6" ht="13.8" x14ac:dyDescent="0.3">
      <c r="E33" s="4"/>
      <c r="F33" s="4"/>
    </row>
    <row r="34" spans="5:6" ht="13.8" x14ac:dyDescent="0.3">
      <c r="E34" s="4"/>
      <c r="F34" s="4"/>
    </row>
    <row r="35" spans="5:6" ht="13.8" x14ac:dyDescent="0.3">
      <c r="E35" s="4"/>
      <c r="F35" s="4"/>
    </row>
    <row r="36" spans="5:6" ht="13.8" x14ac:dyDescent="0.3">
      <c r="E36" s="4"/>
      <c r="F36" s="4"/>
    </row>
    <row r="37" spans="5:6" ht="13.8" x14ac:dyDescent="0.3">
      <c r="E37" s="4"/>
      <c r="F37" s="4"/>
    </row>
    <row r="38" spans="5:6" ht="13.8" x14ac:dyDescent="0.3">
      <c r="E38" s="4"/>
      <c r="F38" s="4"/>
    </row>
    <row r="39" spans="5:6" ht="13.8" x14ac:dyDescent="0.3">
      <c r="E39" s="4"/>
      <c r="F39" s="4"/>
    </row>
    <row r="40" spans="5:6" ht="13.8" x14ac:dyDescent="0.3">
      <c r="E40" s="4"/>
      <c r="F40" s="4"/>
    </row>
    <row r="41" spans="5:6" ht="13.8" x14ac:dyDescent="0.3">
      <c r="E41" s="4"/>
      <c r="F41" s="4"/>
    </row>
    <row r="42" spans="5:6" ht="13.8" x14ac:dyDescent="0.3">
      <c r="E42" s="4"/>
      <c r="F42" s="4"/>
    </row>
    <row r="43" spans="5:6" ht="13.8" x14ac:dyDescent="0.3">
      <c r="E43" s="4"/>
      <c r="F43" s="4"/>
    </row>
    <row r="44" spans="5:6" ht="13.8" x14ac:dyDescent="0.3">
      <c r="E44" s="4"/>
      <c r="F44" s="4"/>
    </row>
    <row r="45" spans="5:6" ht="13.8" x14ac:dyDescent="0.3">
      <c r="E45" s="4"/>
      <c r="F45" s="4"/>
    </row>
    <row r="46" spans="5:6" ht="13.8" x14ac:dyDescent="0.3">
      <c r="E46" s="4"/>
      <c r="F46" s="4"/>
    </row>
    <row r="47" spans="5:6" ht="13.8" x14ac:dyDescent="0.3">
      <c r="E47" s="4"/>
      <c r="F47" s="4"/>
    </row>
    <row r="48" spans="5:6" ht="13.8" x14ac:dyDescent="0.3">
      <c r="E48" s="4"/>
      <c r="F48" s="4"/>
    </row>
    <row r="49" spans="5:6" ht="13.8" x14ac:dyDescent="0.3">
      <c r="E49" s="4"/>
      <c r="F49" s="4"/>
    </row>
    <row r="50" spans="5:6" ht="13.8" x14ac:dyDescent="0.3">
      <c r="E50" s="4"/>
      <c r="F50" s="4"/>
    </row>
    <row r="51" spans="5:6" ht="13.8" x14ac:dyDescent="0.3">
      <c r="E51" s="4"/>
      <c r="F51" s="4"/>
    </row>
    <row r="52" spans="5:6" ht="13.8" x14ac:dyDescent="0.3">
      <c r="E52" s="4"/>
      <c r="F52" s="4"/>
    </row>
    <row r="53" spans="5:6" ht="13.8" x14ac:dyDescent="0.3">
      <c r="E53" s="4"/>
      <c r="F53" s="4"/>
    </row>
    <row r="54" spans="5:6" ht="13.8" x14ac:dyDescent="0.3">
      <c r="E54" s="4"/>
      <c r="F54" s="4"/>
    </row>
    <row r="55" spans="5:6" ht="13.8" x14ac:dyDescent="0.3">
      <c r="E55" s="4"/>
      <c r="F55" s="4"/>
    </row>
    <row r="56" spans="5:6" ht="13.8" x14ac:dyDescent="0.3">
      <c r="E56" s="4"/>
      <c r="F56" s="4"/>
    </row>
    <row r="57" spans="5:6" ht="13.8" x14ac:dyDescent="0.3">
      <c r="E57" s="4"/>
      <c r="F57" s="4"/>
    </row>
    <row r="58" spans="5:6" ht="13.8" x14ac:dyDescent="0.3">
      <c r="E58" s="4"/>
      <c r="F58" s="4"/>
    </row>
    <row r="59" spans="5:6" ht="13.8" x14ac:dyDescent="0.3">
      <c r="E59" s="4"/>
      <c r="F59" s="4"/>
    </row>
    <row r="60" spans="5:6" ht="13.8" x14ac:dyDescent="0.3">
      <c r="E60" s="4"/>
      <c r="F60" s="4"/>
    </row>
    <row r="61" spans="5:6" ht="13.8" x14ac:dyDescent="0.3">
      <c r="E61" s="4"/>
      <c r="F61" s="4"/>
    </row>
    <row r="62" spans="5:6" ht="13.8" x14ac:dyDescent="0.3">
      <c r="E62" s="4"/>
      <c r="F62" s="4"/>
    </row>
    <row r="63" spans="5:6" ht="13.8" x14ac:dyDescent="0.3">
      <c r="E63" s="4"/>
      <c r="F63" s="4"/>
    </row>
    <row r="64" spans="5:6" ht="13.8" x14ac:dyDescent="0.3">
      <c r="E64" s="4"/>
      <c r="F64" s="4"/>
    </row>
    <row r="65" spans="5:6" ht="13.8" x14ac:dyDescent="0.3">
      <c r="E65" s="4"/>
      <c r="F65" s="4"/>
    </row>
    <row r="66" spans="5:6" ht="13.8" x14ac:dyDescent="0.3">
      <c r="E66" s="4"/>
      <c r="F66" s="4"/>
    </row>
    <row r="67" spans="5:6" ht="13.8" x14ac:dyDescent="0.3">
      <c r="E67" s="4"/>
      <c r="F67" s="4"/>
    </row>
    <row r="68" spans="5:6" ht="13.8" x14ac:dyDescent="0.3">
      <c r="E68" s="4"/>
      <c r="F68" s="4"/>
    </row>
    <row r="69" spans="5:6" ht="13.8" x14ac:dyDescent="0.3">
      <c r="E69" s="4"/>
      <c r="F69" s="4"/>
    </row>
    <row r="70" spans="5:6" ht="13.8" x14ac:dyDescent="0.3">
      <c r="E70" s="4"/>
      <c r="F70" s="4"/>
    </row>
    <row r="71" spans="5:6" ht="13.8" x14ac:dyDescent="0.3">
      <c r="E71" s="4"/>
      <c r="F71" s="4"/>
    </row>
    <row r="72" spans="5:6" ht="13.8" x14ac:dyDescent="0.3">
      <c r="E72" s="4"/>
      <c r="F72" s="4"/>
    </row>
    <row r="73" spans="5:6" ht="13.8" x14ac:dyDescent="0.3">
      <c r="E73" s="4"/>
      <c r="F73" s="4"/>
    </row>
    <row r="74" spans="5:6" ht="13.8" x14ac:dyDescent="0.3">
      <c r="E74" s="4"/>
      <c r="F74" s="4"/>
    </row>
    <row r="75" spans="5:6" ht="13.8" x14ac:dyDescent="0.3">
      <c r="E75" s="4"/>
      <c r="F75" s="4"/>
    </row>
    <row r="76" spans="5:6" ht="13.8" x14ac:dyDescent="0.3">
      <c r="E76" s="4"/>
      <c r="F76" s="4"/>
    </row>
    <row r="77" spans="5:6" ht="13.8" x14ac:dyDescent="0.3">
      <c r="E77" s="4"/>
      <c r="F77" s="4"/>
    </row>
    <row r="78" spans="5:6" ht="13.8" x14ac:dyDescent="0.3">
      <c r="E78" s="4"/>
      <c r="F78" s="4"/>
    </row>
    <row r="79" spans="5:6" ht="13.8" x14ac:dyDescent="0.3">
      <c r="E79" s="4"/>
      <c r="F79" s="4"/>
    </row>
    <row r="80" spans="5:6" ht="13.8" x14ac:dyDescent="0.3">
      <c r="E80" s="4"/>
      <c r="F80" s="4"/>
    </row>
    <row r="81" spans="5:6" ht="13.8" x14ac:dyDescent="0.3">
      <c r="E81" s="4"/>
      <c r="F81" s="4"/>
    </row>
    <row r="82" spans="5:6" ht="13.8" x14ac:dyDescent="0.3">
      <c r="E82" s="4"/>
      <c r="F82" s="4"/>
    </row>
    <row r="83" spans="5:6" ht="13.8" x14ac:dyDescent="0.3">
      <c r="E83" s="4"/>
      <c r="F83" s="4"/>
    </row>
    <row r="84" spans="5:6" ht="13.8" x14ac:dyDescent="0.3">
      <c r="E84" s="4"/>
      <c r="F84" s="4"/>
    </row>
    <row r="85" spans="5:6" ht="13.8" x14ac:dyDescent="0.3">
      <c r="E85" s="4"/>
      <c r="F85" s="4"/>
    </row>
    <row r="86" spans="5:6" ht="13.8" x14ac:dyDescent="0.3">
      <c r="E86" s="4"/>
      <c r="F86" s="4"/>
    </row>
    <row r="87" spans="5:6" ht="13.8" x14ac:dyDescent="0.3">
      <c r="E87" s="4"/>
      <c r="F87" s="4"/>
    </row>
    <row r="88" spans="5:6" ht="13.8" x14ac:dyDescent="0.3">
      <c r="E88" s="4"/>
      <c r="F88" s="4"/>
    </row>
    <row r="89" spans="5:6" ht="13.8" x14ac:dyDescent="0.3">
      <c r="E89" s="4"/>
      <c r="F89" s="4"/>
    </row>
    <row r="90" spans="5:6" ht="13.8" x14ac:dyDescent="0.3">
      <c r="E90" s="4"/>
      <c r="F90" s="4"/>
    </row>
    <row r="91" spans="5:6" ht="13.8" x14ac:dyDescent="0.3">
      <c r="E91" s="4"/>
      <c r="F91" s="4"/>
    </row>
    <row r="92" spans="5:6" ht="13.8" x14ac:dyDescent="0.3">
      <c r="E92" s="4"/>
      <c r="F92" s="4"/>
    </row>
    <row r="93" spans="5:6" ht="13.8" x14ac:dyDescent="0.3">
      <c r="E93" s="4"/>
      <c r="F93" s="4"/>
    </row>
    <row r="94" spans="5:6" ht="13.8" x14ac:dyDescent="0.3">
      <c r="E94" s="4"/>
      <c r="F94" s="4"/>
    </row>
    <row r="95" spans="5:6" ht="13.8" x14ac:dyDescent="0.3">
      <c r="E95" s="4"/>
      <c r="F95" s="4"/>
    </row>
    <row r="96" spans="5:6" ht="13.8" x14ac:dyDescent="0.3">
      <c r="E96" s="4"/>
      <c r="F96" s="4"/>
    </row>
    <row r="97" spans="5:6" ht="13.8" x14ac:dyDescent="0.3">
      <c r="E97" s="4"/>
      <c r="F97" s="4"/>
    </row>
    <row r="98" spans="5:6" ht="13.8" x14ac:dyDescent="0.3">
      <c r="E98" s="4"/>
      <c r="F98" s="4"/>
    </row>
    <row r="99" spans="5:6" ht="13.8" x14ac:dyDescent="0.3">
      <c r="E99" s="4"/>
      <c r="F99" s="4"/>
    </row>
    <row r="100" spans="5:6" ht="13.8" x14ac:dyDescent="0.3">
      <c r="E100" s="4"/>
      <c r="F100" s="4"/>
    </row>
    <row r="101" spans="5:6" ht="13.8" x14ac:dyDescent="0.3">
      <c r="E101" s="4"/>
      <c r="F101" s="4"/>
    </row>
    <row r="102" spans="5:6" ht="13.8" x14ac:dyDescent="0.3">
      <c r="E102" s="4"/>
      <c r="F102" s="4"/>
    </row>
    <row r="103" spans="5:6" ht="13.8" x14ac:dyDescent="0.3">
      <c r="E103" s="4"/>
      <c r="F103" s="4"/>
    </row>
    <row r="104" spans="5:6" ht="13.8" x14ac:dyDescent="0.3">
      <c r="E104" s="4"/>
      <c r="F104" s="4"/>
    </row>
    <row r="105" spans="5:6" ht="13.8" x14ac:dyDescent="0.3">
      <c r="E105" s="4"/>
      <c r="F105" s="4"/>
    </row>
    <row r="106" spans="5:6" ht="13.8" x14ac:dyDescent="0.3">
      <c r="E106" s="4"/>
      <c r="F106" s="4"/>
    </row>
    <row r="107" spans="5:6" ht="13.8" x14ac:dyDescent="0.3">
      <c r="E107" s="4"/>
      <c r="F107" s="4"/>
    </row>
    <row r="108" spans="5:6" ht="13.8" x14ac:dyDescent="0.3">
      <c r="E108" s="4"/>
      <c r="F108" s="4"/>
    </row>
    <row r="109" spans="5:6" ht="13.8" x14ac:dyDescent="0.3">
      <c r="E109" s="4"/>
      <c r="F109" s="4"/>
    </row>
    <row r="110" spans="5:6" ht="13.8" x14ac:dyDescent="0.3">
      <c r="E110" s="4"/>
      <c r="F110" s="4"/>
    </row>
    <row r="111" spans="5:6" ht="13.8" x14ac:dyDescent="0.3">
      <c r="E111" s="4"/>
      <c r="F111" s="4"/>
    </row>
    <row r="112" spans="5:6" ht="13.8" x14ac:dyDescent="0.3">
      <c r="E112" s="4"/>
      <c r="F112" s="4"/>
    </row>
    <row r="113" spans="5:6" ht="13.8" x14ac:dyDescent="0.3">
      <c r="E113" s="4"/>
      <c r="F113" s="4"/>
    </row>
    <row r="114" spans="5:6" ht="13.8" x14ac:dyDescent="0.3">
      <c r="E114" s="4"/>
      <c r="F114" s="4"/>
    </row>
    <row r="115" spans="5:6" ht="13.8" x14ac:dyDescent="0.3">
      <c r="E115" s="4"/>
      <c r="F115" s="4"/>
    </row>
    <row r="116" spans="5:6" ht="13.8" x14ac:dyDescent="0.3">
      <c r="E116" s="4"/>
      <c r="F116" s="4"/>
    </row>
    <row r="117" spans="5:6" ht="13.8" x14ac:dyDescent="0.3">
      <c r="E117" s="4"/>
      <c r="F117" s="4"/>
    </row>
    <row r="118" spans="5:6" ht="13.8" x14ac:dyDescent="0.3">
      <c r="E118" s="4"/>
      <c r="F118" s="4"/>
    </row>
    <row r="119" spans="5:6" ht="13.8" x14ac:dyDescent="0.3">
      <c r="E119" s="4"/>
      <c r="F119" s="4"/>
    </row>
    <row r="120" spans="5:6" ht="13.8" x14ac:dyDescent="0.3">
      <c r="E120" s="4"/>
      <c r="F120" s="4"/>
    </row>
    <row r="121" spans="5:6" ht="13.8" x14ac:dyDescent="0.3">
      <c r="E121" s="4"/>
      <c r="F121" s="4"/>
    </row>
    <row r="122" spans="5:6" ht="13.8" x14ac:dyDescent="0.3">
      <c r="E122" s="4"/>
      <c r="F122" s="4"/>
    </row>
    <row r="123" spans="5:6" ht="13.8" x14ac:dyDescent="0.3">
      <c r="E123" s="4"/>
      <c r="F123" s="4"/>
    </row>
    <row r="124" spans="5:6" ht="13.8" x14ac:dyDescent="0.3">
      <c r="E124" s="4"/>
      <c r="F124" s="4"/>
    </row>
    <row r="125" spans="5:6" ht="13.8" x14ac:dyDescent="0.3">
      <c r="E125" s="4"/>
      <c r="F125" s="4"/>
    </row>
    <row r="126" spans="5:6" ht="13.8" x14ac:dyDescent="0.3">
      <c r="E126" s="4"/>
      <c r="F126" s="4"/>
    </row>
    <row r="127" spans="5:6" ht="13.8" x14ac:dyDescent="0.3">
      <c r="E127" s="4"/>
      <c r="F127" s="4"/>
    </row>
    <row r="128" spans="5:6" ht="13.8" x14ac:dyDescent="0.3">
      <c r="E128" s="4"/>
      <c r="F128" s="4"/>
    </row>
    <row r="129" spans="5:6" ht="13.8" x14ac:dyDescent="0.3">
      <c r="E129" s="4"/>
      <c r="F129" s="4"/>
    </row>
    <row r="130" spans="5:6" ht="13.8" x14ac:dyDescent="0.3">
      <c r="E130" s="4"/>
      <c r="F130" s="4"/>
    </row>
    <row r="131" spans="5:6" ht="13.8" x14ac:dyDescent="0.3">
      <c r="E131" s="4"/>
      <c r="F131" s="4"/>
    </row>
    <row r="132" spans="5:6" ht="13.8" x14ac:dyDescent="0.3">
      <c r="E132" s="4"/>
      <c r="F132" s="4"/>
    </row>
    <row r="133" spans="5:6" ht="13.8" x14ac:dyDescent="0.3">
      <c r="E133" s="4"/>
      <c r="F133" s="4"/>
    </row>
    <row r="134" spans="5:6" ht="13.8" x14ac:dyDescent="0.3">
      <c r="E134" s="4"/>
      <c r="F134" s="4"/>
    </row>
    <row r="135" spans="5:6" ht="13.8" x14ac:dyDescent="0.3">
      <c r="E135" s="4"/>
      <c r="F135" s="4"/>
    </row>
    <row r="136" spans="5:6" ht="13.8" x14ac:dyDescent="0.3">
      <c r="E136" s="4"/>
      <c r="F136" s="4"/>
    </row>
    <row r="137" spans="5:6" ht="13.8" x14ac:dyDescent="0.3">
      <c r="E137" s="4"/>
      <c r="F137" s="4"/>
    </row>
    <row r="138" spans="5:6" ht="13.8" x14ac:dyDescent="0.3">
      <c r="E138" s="4"/>
      <c r="F138" s="4"/>
    </row>
    <row r="139" spans="5:6" ht="13.8" x14ac:dyDescent="0.3">
      <c r="E139" s="4"/>
      <c r="F139" s="4"/>
    </row>
    <row r="140" spans="5:6" ht="13.8" x14ac:dyDescent="0.3">
      <c r="E140" s="4"/>
      <c r="F140" s="4"/>
    </row>
    <row r="141" spans="5:6" ht="13.8" x14ac:dyDescent="0.3">
      <c r="E141" s="4"/>
      <c r="F141" s="4"/>
    </row>
    <row r="142" spans="5:6" ht="13.8" x14ac:dyDescent="0.3">
      <c r="E142" s="4"/>
      <c r="F142" s="4"/>
    </row>
    <row r="143" spans="5:6" ht="13.8" x14ac:dyDescent="0.3">
      <c r="E143" s="4"/>
      <c r="F143" s="4"/>
    </row>
    <row r="144" spans="5:6" ht="13.8" x14ac:dyDescent="0.3">
      <c r="E144" s="4"/>
      <c r="F144" s="4"/>
    </row>
    <row r="145" spans="5:6" ht="13.8" x14ac:dyDescent="0.3">
      <c r="E145" s="4"/>
      <c r="F145" s="4"/>
    </row>
    <row r="146" spans="5:6" ht="13.8" x14ac:dyDescent="0.3">
      <c r="E146" s="4"/>
      <c r="F146" s="4"/>
    </row>
    <row r="147" spans="5:6" ht="13.8" x14ac:dyDescent="0.3">
      <c r="E147" s="4"/>
      <c r="F147" s="4"/>
    </row>
    <row r="148" spans="5:6" ht="13.8" x14ac:dyDescent="0.3">
      <c r="E148" s="4"/>
      <c r="F148" s="4"/>
    </row>
    <row r="149" spans="5:6" ht="13.8" x14ac:dyDescent="0.3">
      <c r="E149" s="4"/>
      <c r="F149" s="4"/>
    </row>
    <row r="150" spans="5:6" ht="13.8" x14ac:dyDescent="0.3">
      <c r="E150" s="4"/>
      <c r="F150" s="4"/>
    </row>
    <row r="151" spans="5:6" ht="13.8" x14ac:dyDescent="0.3">
      <c r="E151" s="4"/>
      <c r="F151" s="4"/>
    </row>
    <row r="152" spans="5:6" ht="13.8" x14ac:dyDescent="0.3">
      <c r="E152" s="4"/>
      <c r="F152" s="4"/>
    </row>
    <row r="153" spans="5:6" ht="13.8" x14ac:dyDescent="0.3">
      <c r="E153" s="4"/>
      <c r="F153" s="4"/>
    </row>
    <row r="154" spans="5:6" ht="13.8" x14ac:dyDescent="0.3">
      <c r="E154" s="4"/>
      <c r="F154" s="4"/>
    </row>
    <row r="155" spans="5:6" ht="13.8" x14ac:dyDescent="0.3">
      <c r="E155" s="4"/>
      <c r="F155" s="4"/>
    </row>
    <row r="156" spans="5:6" ht="13.8" x14ac:dyDescent="0.3">
      <c r="E156" s="4"/>
      <c r="F156" s="4"/>
    </row>
    <row r="157" spans="5:6" ht="13.8" x14ac:dyDescent="0.3">
      <c r="E157" s="4"/>
      <c r="F157" s="4"/>
    </row>
    <row r="158" spans="5:6" ht="13.8" x14ac:dyDescent="0.3">
      <c r="E158" s="4"/>
      <c r="F158" s="4"/>
    </row>
    <row r="159" spans="5:6" ht="13.8" x14ac:dyDescent="0.3">
      <c r="E159" s="4"/>
      <c r="F159" s="4"/>
    </row>
    <row r="160" spans="5:6" ht="13.8" x14ac:dyDescent="0.3">
      <c r="E160" s="4"/>
      <c r="F160" s="4"/>
    </row>
    <row r="161" spans="5:6" ht="13.8" x14ac:dyDescent="0.3">
      <c r="E161" s="4"/>
      <c r="F161" s="4"/>
    </row>
    <row r="162" spans="5:6" ht="13.8" x14ac:dyDescent="0.3">
      <c r="E162" s="4"/>
      <c r="F162" s="4"/>
    </row>
    <row r="163" spans="5:6" ht="13.8" x14ac:dyDescent="0.3">
      <c r="E163" s="4"/>
      <c r="F163" s="4"/>
    </row>
    <row r="164" spans="5:6" ht="13.8" x14ac:dyDescent="0.3">
      <c r="E164" s="4"/>
      <c r="F164" s="4"/>
    </row>
    <row r="165" spans="5:6" ht="13.8" x14ac:dyDescent="0.3">
      <c r="E165" s="4"/>
      <c r="F165" s="4"/>
    </row>
    <row r="166" spans="5:6" ht="13.8" x14ac:dyDescent="0.3">
      <c r="E166" s="4"/>
      <c r="F166" s="4"/>
    </row>
    <row r="167" spans="5:6" ht="13.8" x14ac:dyDescent="0.3">
      <c r="E167" s="4"/>
      <c r="F167" s="4"/>
    </row>
    <row r="168" spans="5:6" ht="13.8" x14ac:dyDescent="0.3">
      <c r="E168" s="4"/>
      <c r="F168" s="4"/>
    </row>
    <row r="169" spans="5:6" ht="13.8" x14ac:dyDescent="0.3">
      <c r="E169" s="4"/>
      <c r="F169" s="4"/>
    </row>
    <row r="170" spans="5:6" ht="13.8" x14ac:dyDescent="0.3">
      <c r="E170" s="4"/>
      <c r="F170" s="4"/>
    </row>
    <row r="171" spans="5:6" ht="13.8" x14ac:dyDescent="0.3">
      <c r="E171" s="4"/>
      <c r="F171" s="4"/>
    </row>
    <row r="172" spans="5:6" ht="13.8" x14ac:dyDescent="0.3">
      <c r="E172" s="4"/>
      <c r="F172" s="4"/>
    </row>
    <row r="173" spans="5:6" ht="13.8" x14ac:dyDescent="0.3">
      <c r="E173" s="4"/>
      <c r="F173" s="4"/>
    </row>
    <row r="174" spans="5:6" ht="13.8" x14ac:dyDescent="0.3">
      <c r="E174" s="4"/>
      <c r="F174" s="4"/>
    </row>
    <row r="175" spans="5:6" ht="13.8" x14ac:dyDescent="0.3">
      <c r="E175" s="4"/>
      <c r="F175" s="4"/>
    </row>
    <row r="176" spans="5:6" ht="13.8" x14ac:dyDescent="0.3">
      <c r="E176" s="4"/>
      <c r="F176" s="4"/>
    </row>
    <row r="177" spans="5:6" ht="13.8" x14ac:dyDescent="0.3">
      <c r="E177" s="4"/>
      <c r="F177" s="4"/>
    </row>
    <row r="178" spans="5:6" ht="13.8" x14ac:dyDescent="0.3">
      <c r="E178" s="4"/>
      <c r="F178" s="4"/>
    </row>
    <row r="179" spans="5:6" ht="13.8" x14ac:dyDescent="0.3">
      <c r="E179" s="4"/>
      <c r="F179" s="4"/>
    </row>
    <row r="180" spans="5:6" ht="13.8" x14ac:dyDescent="0.3">
      <c r="E180" s="4"/>
      <c r="F180" s="4"/>
    </row>
    <row r="181" spans="5:6" ht="13.8" x14ac:dyDescent="0.3">
      <c r="E181" s="4"/>
      <c r="F181" s="4"/>
    </row>
    <row r="182" spans="5:6" ht="13.8" x14ac:dyDescent="0.3">
      <c r="E182" s="4"/>
      <c r="F182" s="4"/>
    </row>
    <row r="183" spans="5:6" ht="13.8" x14ac:dyDescent="0.3">
      <c r="E183" s="4"/>
      <c r="F183" s="4"/>
    </row>
    <row r="184" spans="5:6" ht="13.8" x14ac:dyDescent="0.3">
      <c r="E184" s="4"/>
      <c r="F184" s="4"/>
    </row>
    <row r="185" spans="5:6" ht="13.8" x14ac:dyDescent="0.3">
      <c r="E185" s="4"/>
      <c r="F185" s="4"/>
    </row>
    <row r="186" spans="5:6" ht="13.8" x14ac:dyDescent="0.3">
      <c r="E186" s="4"/>
      <c r="F186" s="4"/>
    </row>
    <row r="187" spans="5:6" ht="13.8" x14ac:dyDescent="0.3">
      <c r="E187" s="4"/>
      <c r="F187" s="4"/>
    </row>
    <row r="188" spans="5:6" ht="13.8" x14ac:dyDescent="0.3">
      <c r="E188" s="4"/>
      <c r="F188" s="4"/>
    </row>
    <row r="189" spans="5:6" ht="13.8" x14ac:dyDescent="0.3">
      <c r="E189" s="4"/>
      <c r="F189" s="4"/>
    </row>
    <row r="190" spans="5:6" ht="13.8" x14ac:dyDescent="0.3">
      <c r="E190" s="4"/>
      <c r="F190" s="4"/>
    </row>
    <row r="191" spans="5:6" ht="13.8" x14ac:dyDescent="0.3">
      <c r="E191" s="4"/>
      <c r="F191" s="4"/>
    </row>
    <row r="192" spans="5:6" ht="13.8" x14ac:dyDescent="0.3">
      <c r="E192" s="4"/>
      <c r="F192" s="4"/>
    </row>
    <row r="193" spans="5:6" ht="13.8" x14ac:dyDescent="0.3">
      <c r="E193" s="4"/>
      <c r="F193" s="4"/>
    </row>
    <row r="194" spans="5:6" ht="13.8" x14ac:dyDescent="0.3">
      <c r="E194" s="4"/>
      <c r="F194" s="4"/>
    </row>
    <row r="195" spans="5:6" ht="13.8" x14ac:dyDescent="0.3">
      <c r="E195" s="4"/>
      <c r="F195" s="4"/>
    </row>
    <row r="196" spans="5:6" ht="13.8" x14ac:dyDescent="0.3">
      <c r="E196" s="4"/>
      <c r="F196" s="4"/>
    </row>
    <row r="197" spans="5:6" ht="13.8" x14ac:dyDescent="0.3">
      <c r="E197" s="4"/>
      <c r="F197" s="4"/>
    </row>
    <row r="198" spans="5:6" ht="13.8" x14ac:dyDescent="0.3">
      <c r="E198" s="4"/>
      <c r="F198" s="4"/>
    </row>
    <row r="199" spans="5:6" ht="13.8" x14ac:dyDescent="0.3">
      <c r="E199" s="4"/>
      <c r="F199" s="4"/>
    </row>
    <row r="200" spans="5:6" ht="13.8" x14ac:dyDescent="0.3">
      <c r="E200" s="4"/>
      <c r="F200" s="4"/>
    </row>
    <row r="201" spans="5:6" ht="13.8" x14ac:dyDescent="0.3">
      <c r="E201" s="4"/>
      <c r="F201" s="4"/>
    </row>
    <row r="202" spans="5:6" ht="13.8" x14ac:dyDescent="0.3">
      <c r="E202" s="4"/>
      <c r="F202" s="4"/>
    </row>
    <row r="203" spans="5:6" ht="13.8" x14ac:dyDescent="0.3">
      <c r="E203" s="4"/>
      <c r="F203" s="4"/>
    </row>
    <row r="204" spans="5:6" ht="13.8" x14ac:dyDescent="0.3">
      <c r="E204" s="4"/>
      <c r="F204" s="4"/>
    </row>
    <row r="205" spans="5:6" ht="13.8" x14ac:dyDescent="0.3">
      <c r="E205" s="4"/>
      <c r="F205" s="4"/>
    </row>
    <row r="206" spans="5:6" ht="13.8" x14ac:dyDescent="0.3">
      <c r="E206" s="4"/>
      <c r="F206" s="4"/>
    </row>
    <row r="207" spans="5:6" ht="13.8" x14ac:dyDescent="0.3">
      <c r="E207" s="4"/>
      <c r="F207" s="4"/>
    </row>
    <row r="208" spans="5:6" ht="13.8" x14ac:dyDescent="0.3">
      <c r="E208" s="4"/>
      <c r="F208" s="4"/>
    </row>
    <row r="209" spans="5:6" ht="13.8" x14ac:dyDescent="0.3">
      <c r="E209" s="4"/>
      <c r="F209" s="4"/>
    </row>
    <row r="210" spans="5:6" ht="13.8" x14ac:dyDescent="0.3">
      <c r="E210" s="4"/>
      <c r="F210" s="4"/>
    </row>
    <row r="211" spans="5:6" ht="13.8" x14ac:dyDescent="0.3">
      <c r="E211" s="4"/>
      <c r="F211" s="4"/>
    </row>
    <row r="212" spans="5:6" ht="13.8" x14ac:dyDescent="0.3">
      <c r="E212" s="4"/>
      <c r="F212" s="4"/>
    </row>
    <row r="213" spans="5:6" ht="13.8" x14ac:dyDescent="0.3">
      <c r="E213" s="4"/>
      <c r="F213" s="4"/>
    </row>
    <row r="214" spans="5:6" ht="13.8" x14ac:dyDescent="0.3">
      <c r="E214" s="4"/>
      <c r="F214" s="4"/>
    </row>
    <row r="215" spans="5:6" ht="13.8" x14ac:dyDescent="0.3">
      <c r="E215" s="4"/>
      <c r="F215" s="4"/>
    </row>
    <row r="216" spans="5:6" ht="13.8" x14ac:dyDescent="0.3">
      <c r="E216" s="4"/>
      <c r="F216" s="4"/>
    </row>
    <row r="217" spans="5:6" ht="13.8" x14ac:dyDescent="0.3">
      <c r="E217" s="4"/>
      <c r="F217" s="4"/>
    </row>
    <row r="218" spans="5:6" ht="13.8" x14ac:dyDescent="0.3">
      <c r="E218" s="4"/>
      <c r="F218" s="4"/>
    </row>
    <row r="219" spans="5:6" ht="13.8" x14ac:dyDescent="0.3">
      <c r="E219" s="4"/>
      <c r="F219" s="4"/>
    </row>
    <row r="220" spans="5:6" ht="13.8" x14ac:dyDescent="0.3">
      <c r="E220" s="4"/>
      <c r="F220" s="4"/>
    </row>
    <row r="221" spans="5:6" ht="13.8" x14ac:dyDescent="0.3">
      <c r="E221" s="4"/>
      <c r="F221" s="4"/>
    </row>
    <row r="222" spans="5:6" ht="13.8" x14ac:dyDescent="0.3">
      <c r="E222" s="4"/>
      <c r="F222" s="4"/>
    </row>
    <row r="223" spans="5:6" ht="13.8" x14ac:dyDescent="0.3">
      <c r="E223" s="4"/>
      <c r="F223" s="4"/>
    </row>
    <row r="224" spans="5:6" ht="13.8" x14ac:dyDescent="0.3">
      <c r="E224" s="4"/>
      <c r="F224" s="4"/>
    </row>
    <row r="225" spans="5:6" ht="13.8" x14ac:dyDescent="0.3">
      <c r="E225" s="4"/>
      <c r="F225" s="4"/>
    </row>
    <row r="226" spans="5:6" ht="13.8" x14ac:dyDescent="0.3">
      <c r="E226" s="4"/>
      <c r="F226" s="4"/>
    </row>
    <row r="227" spans="5:6" ht="13.8" x14ac:dyDescent="0.3">
      <c r="E227" s="4"/>
      <c r="F227" s="4"/>
    </row>
    <row r="228" spans="5:6" ht="13.8" x14ac:dyDescent="0.3">
      <c r="E228" s="4"/>
      <c r="F228" s="4"/>
    </row>
    <row r="229" spans="5:6" ht="13.8" x14ac:dyDescent="0.3">
      <c r="E229" s="4"/>
      <c r="F229" s="4"/>
    </row>
    <row r="230" spans="5:6" ht="13.8" x14ac:dyDescent="0.3">
      <c r="E230" s="4"/>
      <c r="F230" s="4"/>
    </row>
    <row r="231" spans="5:6" ht="13.8" x14ac:dyDescent="0.3">
      <c r="E231" s="4"/>
      <c r="F231" s="4"/>
    </row>
    <row r="232" spans="5:6" ht="13.8" x14ac:dyDescent="0.3">
      <c r="E232" s="4"/>
      <c r="F232" s="4"/>
    </row>
    <row r="233" spans="5:6" ht="13.8" x14ac:dyDescent="0.3">
      <c r="E233" s="4"/>
      <c r="F233" s="4"/>
    </row>
    <row r="234" spans="5:6" ht="13.8" x14ac:dyDescent="0.3">
      <c r="E234" s="4"/>
      <c r="F234" s="4"/>
    </row>
    <row r="235" spans="5:6" ht="13.8" x14ac:dyDescent="0.3">
      <c r="E235" s="4"/>
      <c r="F235" s="4"/>
    </row>
    <row r="236" spans="5:6" ht="13.8" x14ac:dyDescent="0.3">
      <c r="E236" s="4"/>
      <c r="F236" s="4"/>
    </row>
    <row r="237" spans="5:6" ht="13.8" x14ac:dyDescent="0.3">
      <c r="E237" s="4"/>
      <c r="F237" s="4"/>
    </row>
    <row r="238" spans="5:6" ht="13.8" x14ac:dyDescent="0.3">
      <c r="E238" s="4"/>
      <c r="F238" s="4"/>
    </row>
    <row r="239" spans="5:6" ht="13.8" x14ac:dyDescent="0.3">
      <c r="E239" s="4"/>
      <c r="F239" s="4"/>
    </row>
    <row r="240" spans="5:6" ht="13.8" x14ac:dyDescent="0.3">
      <c r="E240" s="4"/>
      <c r="F240" s="4"/>
    </row>
    <row r="241" spans="5:6" ht="13.8" x14ac:dyDescent="0.3">
      <c r="E241" s="4"/>
      <c r="F241" s="4"/>
    </row>
    <row r="242" spans="5:6" ht="13.8" x14ac:dyDescent="0.3">
      <c r="E242" s="4"/>
      <c r="F242" s="4"/>
    </row>
    <row r="243" spans="5:6" ht="13.8" x14ac:dyDescent="0.3">
      <c r="E243" s="4"/>
      <c r="F243" s="4"/>
    </row>
    <row r="244" spans="5:6" ht="13.8" x14ac:dyDescent="0.3">
      <c r="E244" s="4"/>
      <c r="F244" s="4"/>
    </row>
    <row r="245" spans="5:6" ht="13.8" x14ac:dyDescent="0.3">
      <c r="E245" s="4"/>
      <c r="F245" s="4"/>
    </row>
    <row r="246" spans="5:6" ht="13.8" x14ac:dyDescent="0.3">
      <c r="E246" s="4"/>
      <c r="F246" s="4"/>
    </row>
    <row r="247" spans="5:6" ht="13.8" x14ac:dyDescent="0.3">
      <c r="E247" s="4"/>
      <c r="F247" s="4"/>
    </row>
    <row r="248" spans="5:6" ht="13.8" x14ac:dyDescent="0.3">
      <c r="E248" s="4"/>
      <c r="F248" s="4"/>
    </row>
    <row r="249" spans="5:6" ht="13.8" x14ac:dyDescent="0.3">
      <c r="E249" s="4"/>
      <c r="F249" s="4"/>
    </row>
    <row r="250" spans="5:6" ht="13.8" x14ac:dyDescent="0.3">
      <c r="E250" s="4"/>
      <c r="F250" s="4"/>
    </row>
    <row r="251" spans="5:6" ht="13.8" x14ac:dyDescent="0.3">
      <c r="E251" s="4"/>
      <c r="F251" s="4"/>
    </row>
    <row r="252" spans="5:6" ht="13.8" x14ac:dyDescent="0.3">
      <c r="E252" s="4"/>
      <c r="F252" s="4"/>
    </row>
    <row r="253" spans="5:6" ht="13.8" x14ac:dyDescent="0.3">
      <c r="E253" s="4"/>
      <c r="F253" s="4"/>
    </row>
    <row r="254" spans="5:6" ht="13.8" x14ac:dyDescent="0.3">
      <c r="E254" s="4"/>
      <c r="F254" s="4"/>
    </row>
    <row r="255" spans="5:6" ht="13.8" x14ac:dyDescent="0.3">
      <c r="E255" s="4"/>
      <c r="F255" s="4"/>
    </row>
    <row r="256" spans="5:6" ht="13.8" x14ac:dyDescent="0.3">
      <c r="E256" s="4"/>
      <c r="F256" s="4"/>
    </row>
    <row r="257" spans="5:6" ht="13.8" x14ac:dyDescent="0.3">
      <c r="E257" s="4"/>
      <c r="F257" s="4"/>
    </row>
    <row r="258" spans="5:6" ht="13.8" x14ac:dyDescent="0.3">
      <c r="E258" s="4"/>
      <c r="F258" s="4"/>
    </row>
    <row r="259" spans="5:6" ht="13.8" x14ac:dyDescent="0.3">
      <c r="E259" s="4"/>
      <c r="F259" s="4"/>
    </row>
    <row r="260" spans="5:6" ht="13.8" x14ac:dyDescent="0.3">
      <c r="E260" s="4"/>
      <c r="F260" s="4"/>
    </row>
    <row r="261" spans="5:6" ht="13.8" x14ac:dyDescent="0.3">
      <c r="E261" s="4"/>
      <c r="F261" s="4"/>
    </row>
    <row r="262" spans="5:6" ht="13.8" x14ac:dyDescent="0.3">
      <c r="E262" s="4"/>
      <c r="F262" s="4"/>
    </row>
    <row r="263" spans="5:6" ht="13.8" x14ac:dyDescent="0.3">
      <c r="E263" s="4"/>
      <c r="F263" s="4"/>
    </row>
    <row r="264" spans="5:6" ht="13.8" x14ac:dyDescent="0.3">
      <c r="E264" s="4"/>
      <c r="F264" s="4"/>
    </row>
    <row r="265" spans="5:6" ht="13.8" x14ac:dyDescent="0.3">
      <c r="E265" s="4"/>
      <c r="F265" s="4"/>
    </row>
    <row r="266" spans="5:6" ht="13.8" x14ac:dyDescent="0.3">
      <c r="E266" s="4"/>
      <c r="F266" s="4"/>
    </row>
    <row r="267" spans="5:6" ht="13.8" x14ac:dyDescent="0.3">
      <c r="E267" s="4"/>
      <c r="F267" s="4"/>
    </row>
    <row r="268" spans="5:6" ht="13.8" x14ac:dyDescent="0.3">
      <c r="E268" s="4"/>
      <c r="F268" s="4"/>
    </row>
    <row r="269" spans="5:6" ht="13.8" x14ac:dyDescent="0.3">
      <c r="E269" s="4"/>
      <c r="F269" s="4"/>
    </row>
    <row r="270" spans="5:6" ht="13.8" x14ac:dyDescent="0.3">
      <c r="E270" s="4"/>
      <c r="F270" s="4"/>
    </row>
    <row r="271" spans="5:6" ht="13.8" x14ac:dyDescent="0.3">
      <c r="E271" s="4"/>
      <c r="F271" s="4"/>
    </row>
    <row r="272" spans="5:6" ht="13.8" x14ac:dyDescent="0.3">
      <c r="E272" s="4"/>
      <c r="F272" s="4"/>
    </row>
    <row r="273" spans="5:6" ht="13.8" x14ac:dyDescent="0.3">
      <c r="E273" s="4"/>
      <c r="F273" s="4"/>
    </row>
    <row r="274" spans="5:6" ht="13.8" x14ac:dyDescent="0.3">
      <c r="E274" s="4"/>
      <c r="F274" s="4"/>
    </row>
    <row r="275" spans="5:6" ht="13.8" x14ac:dyDescent="0.3">
      <c r="E275" s="4"/>
      <c r="F275" s="4"/>
    </row>
    <row r="276" spans="5:6" ht="13.8" x14ac:dyDescent="0.3">
      <c r="E276" s="4"/>
      <c r="F276" s="4"/>
    </row>
    <row r="277" spans="5:6" ht="13.8" x14ac:dyDescent="0.3">
      <c r="E277" s="4"/>
      <c r="F277" s="4"/>
    </row>
    <row r="278" spans="5:6" ht="13.8" x14ac:dyDescent="0.3">
      <c r="E278" s="4"/>
      <c r="F278" s="4"/>
    </row>
    <row r="279" spans="5:6" ht="13.8" x14ac:dyDescent="0.3">
      <c r="E279" s="4"/>
      <c r="F279" s="4"/>
    </row>
    <row r="280" spans="5:6" ht="13.8" x14ac:dyDescent="0.3">
      <c r="E280" s="4"/>
      <c r="F280" s="4"/>
    </row>
    <row r="281" spans="5:6" ht="13.8" x14ac:dyDescent="0.3">
      <c r="E281" s="4"/>
      <c r="F281" s="4"/>
    </row>
    <row r="282" spans="5:6" ht="13.8" x14ac:dyDescent="0.3">
      <c r="E282" s="4"/>
      <c r="F282" s="4"/>
    </row>
    <row r="283" spans="5:6" ht="13.8" x14ac:dyDescent="0.3">
      <c r="E283" s="4"/>
      <c r="F283" s="4"/>
    </row>
    <row r="284" spans="5:6" ht="13.8" x14ac:dyDescent="0.3">
      <c r="E284" s="4"/>
      <c r="F284" s="4"/>
    </row>
    <row r="285" spans="5:6" ht="13.8" x14ac:dyDescent="0.3">
      <c r="E285" s="4"/>
      <c r="F285" s="4"/>
    </row>
    <row r="286" spans="5:6" ht="13.8" x14ac:dyDescent="0.3">
      <c r="E286" s="4"/>
      <c r="F286" s="4"/>
    </row>
    <row r="287" spans="5:6" ht="13.8" x14ac:dyDescent="0.3">
      <c r="E287" s="4"/>
      <c r="F287" s="4"/>
    </row>
    <row r="288" spans="5:6" ht="13.8" x14ac:dyDescent="0.3">
      <c r="E288" s="4"/>
      <c r="F288" s="4"/>
    </row>
    <row r="289" spans="5:6" ht="13.8" x14ac:dyDescent="0.3">
      <c r="E289" s="4"/>
      <c r="F289" s="4"/>
    </row>
    <row r="290" spans="5:6" ht="13.8" x14ac:dyDescent="0.3">
      <c r="E290" s="4"/>
      <c r="F290" s="4"/>
    </row>
    <row r="291" spans="5:6" ht="13.8" x14ac:dyDescent="0.3">
      <c r="E291" s="4"/>
      <c r="F291" s="4"/>
    </row>
    <row r="292" spans="5:6" ht="13.8" x14ac:dyDescent="0.3">
      <c r="E292" s="4"/>
      <c r="F292" s="4"/>
    </row>
    <row r="293" spans="5:6" ht="13.8" x14ac:dyDescent="0.3">
      <c r="E293" s="4"/>
      <c r="F293" s="4"/>
    </row>
    <row r="294" spans="5:6" ht="13.8" x14ac:dyDescent="0.3">
      <c r="E294" s="4"/>
      <c r="F294" s="4"/>
    </row>
    <row r="295" spans="5:6" ht="13.8" x14ac:dyDescent="0.3">
      <c r="E295" s="4"/>
      <c r="F295" s="4"/>
    </row>
    <row r="296" spans="5:6" ht="13.8" x14ac:dyDescent="0.3">
      <c r="E296" s="4"/>
      <c r="F296" s="4"/>
    </row>
    <row r="297" spans="5:6" ht="13.8" x14ac:dyDescent="0.3">
      <c r="E297" s="4"/>
      <c r="F297" s="4"/>
    </row>
    <row r="298" spans="5:6" ht="13.8" x14ac:dyDescent="0.3">
      <c r="E298" s="4"/>
      <c r="F298" s="4"/>
    </row>
    <row r="299" spans="5:6" ht="13.8" x14ac:dyDescent="0.3">
      <c r="E299" s="4"/>
      <c r="F299" s="4"/>
    </row>
    <row r="300" spans="5:6" ht="13.8" x14ac:dyDescent="0.3">
      <c r="E300" s="4"/>
      <c r="F300" s="4"/>
    </row>
    <row r="301" spans="5:6" ht="13.8" x14ac:dyDescent="0.3">
      <c r="E301" s="4"/>
      <c r="F301" s="4"/>
    </row>
    <row r="302" spans="5:6" ht="13.8" x14ac:dyDescent="0.3">
      <c r="E302" s="4"/>
      <c r="F302" s="4"/>
    </row>
    <row r="303" spans="5:6" ht="13.8" x14ac:dyDescent="0.3">
      <c r="E303" s="4"/>
      <c r="F303" s="4"/>
    </row>
    <row r="304" spans="5:6" ht="13.8" x14ac:dyDescent="0.3">
      <c r="E304" s="4"/>
      <c r="F304" s="4"/>
    </row>
    <row r="305" spans="5:6" ht="13.8" x14ac:dyDescent="0.3">
      <c r="E305" s="4"/>
      <c r="F305" s="4"/>
    </row>
    <row r="306" spans="5:6" ht="13.8" x14ac:dyDescent="0.3">
      <c r="E306" s="4"/>
      <c r="F306" s="4"/>
    </row>
    <row r="307" spans="5:6" ht="13.8" x14ac:dyDescent="0.3">
      <c r="E307" s="4"/>
      <c r="F307" s="4"/>
    </row>
    <row r="308" spans="5:6" ht="13.8" x14ac:dyDescent="0.3">
      <c r="E308" s="4"/>
      <c r="F308" s="4"/>
    </row>
    <row r="309" spans="5:6" ht="13.8" x14ac:dyDescent="0.3">
      <c r="E309" s="4"/>
      <c r="F309" s="4"/>
    </row>
    <row r="310" spans="5:6" ht="13.8" x14ac:dyDescent="0.3">
      <c r="E310" s="4"/>
      <c r="F310" s="4"/>
    </row>
    <row r="311" spans="5:6" ht="13.8" x14ac:dyDescent="0.3">
      <c r="E311" s="4"/>
      <c r="F311" s="4"/>
    </row>
    <row r="312" spans="5:6" ht="13.8" x14ac:dyDescent="0.3">
      <c r="E312" s="4"/>
      <c r="F312" s="4"/>
    </row>
    <row r="313" spans="5:6" ht="13.8" x14ac:dyDescent="0.3">
      <c r="E313" s="4"/>
      <c r="F313" s="4"/>
    </row>
    <row r="314" spans="5:6" ht="13.8" x14ac:dyDescent="0.3">
      <c r="E314" s="4"/>
      <c r="F314" s="4"/>
    </row>
    <row r="315" spans="5:6" ht="13.8" x14ac:dyDescent="0.3">
      <c r="E315" s="4"/>
      <c r="F315" s="4"/>
    </row>
    <row r="316" spans="5:6" ht="13.8" x14ac:dyDescent="0.3">
      <c r="E316" s="4"/>
      <c r="F316" s="4"/>
    </row>
    <row r="317" spans="5:6" ht="13.8" x14ac:dyDescent="0.3">
      <c r="E317" s="4"/>
      <c r="F317" s="4"/>
    </row>
    <row r="318" spans="5:6" ht="13.8" x14ac:dyDescent="0.3">
      <c r="E318" s="4"/>
      <c r="F318" s="4"/>
    </row>
    <row r="319" spans="5:6" ht="13.8" x14ac:dyDescent="0.3">
      <c r="E319" s="4"/>
      <c r="F319" s="4"/>
    </row>
    <row r="320" spans="5:6" ht="13.8" x14ac:dyDescent="0.3">
      <c r="E320" s="4"/>
      <c r="F320" s="4"/>
    </row>
    <row r="321" spans="5:6" ht="13.8" x14ac:dyDescent="0.3">
      <c r="E321" s="4"/>
      <c r="F321" s="4"/>
    </row>
    <row r="322" spans="5:6" ht="13.8" x14ac:dyDescent="0.3">
      <c r="E322" s="4"/>
      <c r="F322" s="4"/>
    </row>
    <row r="323" spans="5:6" ht="13.8" x14ac:dyDescent="0.3">
      <c r="E323" s="4"/>
      <c r="F323" s="4"/>
    </row>
    <row r="324" spans="5:6" ht="13.8" x14ac:dyDescent="0.3">
      <c r="E324" s="4"/>
      <c r="F324" s="4"/>
    </row>
    <row r="325" spans="5:6" ht="13.8" x14ac:dyDescent="0.3">
      <c r="E325" s="4"/>
      <c r="F325" s="4"/>
    </row>
    <row r="326" spans="5:6" ht="13.8" x14ac:dyDescent="0.3">
      <c r="E326" s="4"/>
      <c r="F326" s="4"/>
    </row>
    <row r="327" spans="5:6" ht="13.8" x14ac:dyDescent="0.3">
      <c r="E327" s="4"/>
      <c r="F327" s="4"/>
    </row>
    <row r="328" spans="5:6" ht="13.8" x14ac:dyDescent="0.3">
      <c r="E328" s="4"/>
      <c r="F328" s="4"/>
    </row>
    <row r="329" spans="5:6" ht="13.8" x14ac:dyDescent="0.3">
      <c r="E329" s="4"/>
      <c r="F329" s="4"/>
    </row>
    <row r="330" spans="5:6" ht="13.8" x14ac:dyDescent="0.3">
      <c r="E330" s="4"/>
      <c r="F330" s="4"/>
    </row>
    <row r="331" spans="5:6" ht="13.8" x14ac:dyDescent="0.3">
      <c r="E331" s="4"/>
      <c r="F331" s="4"/>
    </row>
    <row r="332" spans="5:6" ht="13.8" x14ac:dyDescent="0.3">
      <c r="E332" s="4"/>
      <c r="F332" s="4"/>
    </row>
    <row r="333" spans="5:6" ht="13.8" x14ac:dyDescent="0.3">
      <c r="E333" s="4"/>
      <c r="F333" s="4"/>
    </row>
    <row r="334" spans="5:6" ht="13.8" x14ac:dyDescent="0.3">
      <c r="E334" s="4"/>
      <c r="F334" s="4"/>
    </row>
    <row r="335" spans="5:6" ht="13.8" x14ac:dyDescent="0.3">
      <c r="E335" s="4"/>
      <c r="F335" s="4"/>
    </row>
    <row r="336" spans="5:6" ht="13.8" x14ac:dyDescent="0.3">
      <c r="E336" s="4"/>
      <c r="F336" s="4"/>
    </row>
    <row r="337" spans="5:6" ht="13.8" x14ac:dyDescent="0.3">
      <c r="E337" s="4"/>
      <c r="F337" s="4"/>
    </row>
    <row r="338" spans="5:6" ht="13.8" x14ac:dyDescent="0.3">
      <c r="E338" s="4"/>
      <c r="F338" s="4"/>
    </row>
    <row r="339" spans="5:6" ht="13.8" x14ac:dyDescent="0.3">
      <c r="E339" s="4"/>
      <c r="F339" s="4"/>
    </row>
    <row r="340" spans="5:6" ht="13.8" x14ac:dyDescent="0.3">
      <c r="E340" s="4"/>
      <c r="F340" s="4"/>
    </row>
    <row r="341" spans="5:6" ht="13.8" x14ac:dyDescent="0.3">
      <c r="E341" s="4"/>
      <c r="F341" s="4"/>
    </row>
    <row r="342" spans="5:6" ht="13.8" x14ac:dyDescent="0.3">
      <c r="E342" s="4"/>
      <c r="F342" s="4"/>
    </row>
    <row r="343" spans="5:6" ht="13.8" x14ac:dyDescent="0.3">
      <c r="E343" s="4"/>
      <c r="F343" s="4"/>
    </row>
    <row r="344" spans="5:6" ht="13.8" x14ac:dyDescent="0.3">
      <c r="E344" s="4"/>
      <c r="F344" s="4"/>
    </row>
    <row r="345" spans="5:6" ht="13.8" x14ac:dyDescent="0.3">
      <c r="E345" s="4"/>
      <c r="F345" s="4"/>
    </row>
    <row r="346" spans="5:6" ht="13.8" x14ac:dyDescent="0.3">
      <c r="E346" s="4"/>
      <c r="F346" s="4"/>
    </row>
    <row r="347" spans="5:6" ht="13.8" x14ac:dyDescent="0.3">
      <c r="E347" s="4"/>
      <c r="F347" s="4"/>
    </row>
    <row r="348" spans="5:6" ht="13.8" x14ac:dyDescent="0.3">
      <c r="E348" s="4"/>
      <c r="F348" s="4"/>
    </row>
    <row r="349" spans="5:6" ht="13.8" x14ac:dyDescent="0.3">
      <c r="E349" s="4"/>
      <c r="F349" s="4"/>
    </row>
    <row r="350" spans="5:6" ht="13.8" x14ac:dyDescent="0.3">
      <c r="E350" s="4"/>
      <c r="F350" s="4"/>
    </row>
    <row r="351" spans="5:6" ht="13.8" x14ac:dyDescent="0.3">
      <c r="E351" s="4"/>
      <c r="F351" s="4"/>
    </row>
    <row r="352" spans="5:6" ht="13.8" x14ac:dyDescent="0.3">
      <c r="E352" s="4"/>
      <c r="F352" s="4"/>
    </row>
    <row r="353" spans="5:6" ht="13.8" x14ac:dyDescent="0.3">
      <c r="E353" s="4"/>
      <c r="F353" s="4"/>
    </row>
    <row r="354" spans="5:6" ht="13.8" x14ac:dyDescent="0.3">
      <c r="E354" s="4"/>
      <c r="F354" s="4"/>
    </row>
    <row r="355" spans="5:6" ht="13.8" x14ac:dyDescent="0.3">
      <c r="E355" s="4"/>
      <c r="F355" s="4"/>
    </row>
    <row r="356" spans="5:6" ht="13.8" x14ac:dyDescent="0.3">
      <c r="E356" s="4"/>
      <c r="F356" s="4"/>
    </row>
    <row r="357" spans="5:6" ht="13.8" x14ac:dyDescent="0.3">
      <c r="E357" s="4"/>
      <c r="F357" s="4"/>
    </row>
    <row r="358" spans="5:6" ht="13.8" x14ac:dyDescent="0.3">
      <c r="E358" s="4"/>
      <c r="F358" s="4"/>
    </row>
    <row r="359" spans="5:6" ht="13.8" x14ac:dyDescent="0.3">
      <c r="E359" s="4"/>
      <c r="F359" s="4"/>
    </row>
    <row r="360" spans="5:6" ht="13.8" x14ac:dyDescent="0.3">
      <c r="E360" s="4"/>
      <c r="F360" s="4"/>
    </row>
    <row r="361" spans="5:6" ht="13.8" x14ac:dyDescent="0.3">
      <c r="E361" s="4"/>
      <c r="F361" s="4"/>
    </row>
    <row r="362" spans="5:6" ht="13.8" x14ac:dyDescent="0.3">
      <c r="E362" s="4"/>
      <c r="F362" s="4"/>
    </row>
    <row r="363" spans="5:6" ht="13.8" x14ac:dyDescent="0.3">
      <c r="E363" s="4"/>
      <c r="F363" s="4"/>
    </row>
    <row r="364" spans="5:6" ht="13.8" x14ac:dyDescent="0.3">
      <c r="E364" s="4"/>
      <c r="F364" s="4"/>
    </row>
    <row r="365" spans="5:6" ht="13.8" x14ac:dyDescent="0.3">
      <c r="E365" s="4"/>
      <c r="F365" s="4"/>
    </row>
    <row r="366" spans="5:6" ht="13.8" x14ac:dyDescent="0.3">
      <c r="E366" s="4"/>
      <c r="F366" s="4"/>
    </row>
    <row r="367" spans="5:6" ht="13.8" x14ac:dyDescent="0.3">
      <c r="E367" s="4"/>
      <c r="F367" s="4"/>
    </row>
    <row r="368" spans="5:6" ht="13.8" x14ac:dyDescent="0.3">
      <c r="E368" s="4"/>
      <c r="F368" s="4"/>
    </row>
    <row r="369" spans="5:6" ht="13.8" x14ac:dyDescent="0.3">
      <c r="E369" s="4"/>
      <c r="F369" s="4"/>
    </row>
    <row r="370" spans="5:6" ht="13.8" x14ac:dyDescent="0.3">
      <c r="E370" s="4"/>
      <c r="F370" s="4"/>
    </row>
    <row r="371" spans="5:6" ht="13.8" x14ac:dyDescent="0.3">
      <c r="E371" s="4"/>
      <c r="F371" s="4"/>
    </row>
    <row r="372" spans="5:6" ht="13.8" x14ac:dyDescent="0.3">
      <c r="E372" s="4"/>
      <c r="F372" s="4"/>
    </row>
    <row r="373" spans="5:6" ht="13.8" x14ac:dyDescent="0.3">
      <c r="E373" s="4"/>
      <c r="F373" s="4"/>
    </row>
    <row r="374" spans="5:6" ht="13.8" x14ac:dyDescent="0.3">
      <c r="E374" s="4"/>
      <c r="F374" s="4"/>
    </row>
    <row r="375" spans="5:6" ht="13.8" x14ac:dyDescent="0.3">
      <c r="E375" s="4"/>
      <c r="F375" s="4"/>
    </row>
    <row r="376" spans="5:6" ht="13.8" x14ac:dyDescent="0.3">
      <c r="E376" s="4"/>
      <c r="F376" s="4"/>
    </row>
    <row r="377" spans="5:6" ht="13.8" x14ac:dyDescent="0.3">
      <c r="E377" s="4"/>
      <c r="F377" s="4"/>
    </row>
    <row r="378" spans="5:6" ht="13.8" x14ac:dyDescent="0.3">
      <c r="E378" s="4"/>
      <c r="F378" s="4"/>
    </row>
    <row r="379" spans="5:6" ht="13.8" x14ac:dyDescent="0.3">
      <c r="E379" s="4"/>
      <c r="F379" s="4"/>
    </row>
    <row r="380" spans="5:6" ht="13.8" x14ac:dyDescent="0.3">
      <c r="E380" s="4"/>
      <c r="F380" s="4"/>
    </row>
    <row r="381" spans="5:6" ht="13.8" x14ac:dyDescent="0.3">
      <c r="E381" s="4"/>
      <c r="F381" s="4"/>
    </row>
    <row r="382" spans="5:6" ht="13.8" x14ac:dyDescent="0.3">
      <c r="E382" s="4"/>
      <c r="F382" s="4"/>
    </row>
    <row r="383" spans="5:6" ht="13.8" x14ac:dyDescent="0.3">
      <c r="E383" s="4"/>
      <c r="F383" s="4"/>
    </row>
    <row r="384" spans="5:6" ht="13.8" x14ac:dyDescent="0.3">
      <c r="E384" s="4"/>
      <c r="F384" s="4"/>
    </row>
    <row r="385" spans="5:6" ht="13.8" x14ac:dyDescent="0.3">
      <c r="E385" s="4"/>
      <c r="F385" s="4"/>
    </row>
    <row r="386" spans="5:6" ht="13.8" x14ac:dyDescent="0.3">
      <c r="E386" s="4"/>
      <c r="F386" s="4"/>
    </row>
    <row r="387" spans="5:6" ht="13.8" x14ac:dyDescent="0.3">
      <c r="E387" s="4"/>
      <c r="F387" s="4"/>
    </row>
    <row r="388" spans="5:6" ht="13.8" x14ac:dyDescent="0.3">
      <c r="E388" s="4"/>
      <c r="F388" s="4"/>
    </row>
    <row r="389" spans="5:6" ht="13.8" x14ac:dyDescent="0.3">
      <c r="E389" s="4"/>
      <c r="F389" s="4"/>
    </row>
    <row r="390" spans="5:6" ht="13.8" x14ac:dyDescent="0.3">
      <c r="E390" s="4"/>
      <c r="F390" s="4"/>
    </row>
    <row r="391" spans="5:6" ht="13.8" x14ac:dyDescent="0.3">
      <c r="E391" s="4"/>
      <c r="F391" s="4"/>
    </row>
    <row r="392" spans="5:6" ht="13.8" x14ac:dyDescent="0.3">
      <c r="E392" s="4"/>
      <c r="F392" s="4"/>
    </row>
    <row r="393" spans="5:6" ht="13.8" x14ac:dyDescent="0.3">
      <c r="E393" s="4"/>
      <c r="F393" s="4"/>
    </row>
    <row r="394" spans="5:6" ht="13.8" x14ac:dyDescent="0.3">
      <c r="E394" s="4"/>
      <c r="F394" s="4"/>
    </row>
    <row r="395" spans="5:6" ht="13.8" x14ac:dyDescent="0.3">
      <c r="E395" s="4"/>
      <c r="F395" s="4"/>
    </row>
    <row r="396" spans="5:6" ht="13.8" x14ac:dyDescent="0.3">
      <c r="E396" s="4"/>
      <c r="F396" s="4"/>
    </row>
    <row r="397" spans="5:6" ht="13.8" x14ac:dyDescent="0.3">
      <c r="E397" s="4"/>
      <c r="F397" s="4"/>
    </row>
    <row r="398" spans="5:6" ht="13.8" x14ac:dyDescent="0.3">
      <c r="E398" s="4"/>
      <c r="F398" s="4"/>
    </row>
    <row r="399" spans="5:6" ht="13.8" x14ac:dyDescent="0.3">
      <c r="E399" s="4"/>
      <c r="F399" s="4"/>
    </row>
    <row r="400" spans="5:6" ht="13.8" x14ac:dyDescent="0.3">
      <c r="E400" s="4"/>
      <c r="F400" s="4"/>
    </row>
    <row r="401" spans="5:6" ht="13.8" x14ac:dyDescent="0.3">
      <c r="E401" s="4"/>
      <c r="F401" s="4"/>
    </row>
    <row r="402" spans="5:6" ht="13.8" x14ac:dyDescent="0.3">
      <c r="E402" s="4"/>
      <c r="F402" s="4"/>
    </row>
    <row r="403" spans="5:6" ht="13.8" x14ac:dyDescent="0.3">
      <c r="E403" s="4"/>
      <c r="F403" s="4"/>
    </row>
    <row r="404" spans="5:6" ht="13.8" x14ac:dyDescent="0.3">
      <c r="E404" s="4"/>
      <c r="F404" s="4"/>
    </row>
    <row r="405" spans="5:6" ht="13.8" x14ac:dyDescent="0.3">
      <c r="E405" s="4"/>
      <c r="F405" s="4"/>
    </row>
    <row r="406" spans="5:6" ht="13.8" x14ac:dyDescent="0.3">
      <c r="E406" s="4"/>
      <c r="F406" s="4"/>
    </row>
    <row r="407" spans="5:6" ht="13.8" x14ac:dyDescent="0.3">
      <c r="E407" s="4"/>
      <c r="F407" s="4"/>
    </row>
    <row r="408" spans="5:6" ht="13.8" x14ac:dyDescent="0.3">
      <c r="E408" s="4"/>
      <c r="F408" s="4"/>
    </row>
    <row r="409" spans="5:6" ht="13.8" x14ac:dyDescent="0.3">
      <c r="E409" s="4"/>
      <c r="F409" s="4"/>
    </row>
    <row r="410" spans="5:6" ht="13.8" x14ac:dyDescent="0.3">
      <c r="E410" s="4"/>
      <c r="F410" s="4"/>
    </row>
    <row r="411" spans="5:6" ht="13.8" x14ac:dyDescent="0.3">
      <c r="E411" s="4"/>
      <c r="F411" s="4"/>
    </row>
    <row r="412" spans="5:6" ht="13.8" x14ac:dyDescent="0.3">
      <c r="E412" s="4"/>
      <c r="F412" s="4"/>
    </row>
    <row r="413" spans="5:6" ht="13.8" x14ac:dyDescent="0.3">
      <c r="E413" s="4"/>
      <c r="F413" s="4"/>
    </row>
    <row r="414" spans="5:6" ht="13.8" x14ac:dyDescent="0.3">
      <c r="E414" s="4"/>
      <c r="F414" s="4"/>
    </row>
    <row r="415" spans="5:6" ht="13.8" x14ac:dyDescent="0.3">
      <c r="E415" s="4"/>
      <c r="F415" s="4"/>
    </row>
    <row r="416" spans="5:6" ht="13.8" x14ac:dyDescent="0.3">
      <c r="E416" s="4"/>
      <c r="F416" s="4"/>
    </row>
    <row r="417" spans="5:6" ht="13.8" x14ac:dyDescent="0.3">
      <c r="E417" s="4"/>
      <c r="F417" s="4"/>
    </row>
    <row r="418" spans="5:6" ht="13.8" x14ac:dyDescent="0.3">
      <c r="E418" s="4"/>
      <c r="F418" s="4"/>
    </row>
    <row r="419" spans="5:6" ht="13.8" x14ac:dyDescent="0.3">
      <c r="E419" s="4"/>
      <c r="F419" s="4"/>
    </row>
    <row r="420" spans="5:6" ht="13.8" x14ac:dyDescent="0.3">
      <c r="E420" s="4"/>
      <c r="F420" s="4"/>
    </row>
    <row r="421" spans="5:6" ht="13.8" x14ac:dyDescent="0.3">
      <c r="E421" s="4"/>
      <c r="F421" s="4"/>
    </row>
    <row r="422" spans="5:6" ht="13.8" x14ac:dyDescent="0.3">
      <c r="E422" s="4"/>
      <c r="F422" s="4"/>
    </row>
    <row r="423" spans="5:6" ht="13.8" x14ac:dyDescent="0.3">
      <c r="E423" s="4"/>
      <c r="F423" s="4"/>
    </row>
    <row r="424" spans="5:6" ht="13.8" x14ac:dyDescent="0.3">
      <c r="E424" s="4"/>
      <c r="F424" s="4"/>
    </row>
    <row r="425" spans="5:6" ht="13.8" x14ac:dyDescent="0.3">
      <c r="E425" s="4"/>
      <c r="F425" s="4"/>
    </row>
    <row r="426" spans="5:6" ht="13.8" x14ac:dyDescent="0.3">
      <c r="E426" s="4"/>
      <c r="F426" s="4"/>
    </row>
    <row r="427" spans="5:6" ht="13.8" x14ac:dyDescent="0.3">
      <c r="E427" s="4"/>
      <c r="F427" s="4"/>
    </row>
    <row r="428" spans="5:6" ht="13.8" x14ac:dyDescent="0.3">
      <c r="E428" s="4"/>
      <c r="F428" s="4"/>
    </row>
    <row r="429" spans="5:6" ht="13.8" x14ac:dyDescent="0.3">
      <c r="E429" s="4"/>
      <c r="F429" s="4"/>
    </row>
    <row r="430" spans="5:6" ht="13.8" x14ac:dyDescent="0.3">
      <c r="E430" s="4"/>
      <c r="F430" s="4"/>
    </row>
    <row r="431" spans="5:6" ht="13.8" x14ac:dyDescent="0.3">
      <c r="E431" s="4"/>
      <c r="F431" s="4"/>
    </row>
    <row r="432" spans="5:6" ht="13.8" x14ac:dyDescent="0.3">
      <c r="E432" s="4"/>
      <c r="F432" s="4"/>
    </row>
    <row r="433" spans="5:6" ht="13.8" x14ac:dyDescent="0.3">
      <c r="E433" s="4"/>
      <c r="F433" s="4"/>
    </row>
    <row r="434" spans="5:6" ht="13.8" x14ac:dyDescent="0.3">
      <c r="E434" s="4"/>
      <c r="F434" s="4"/>
    </row>
    <row r="435" spans="5:6" ht="13.8" x14ac:dyDescent="0.3">
      <c r="E435" s="4"/>
      <c r="F435" s="4"/>
    </row>
    <row r="436" spans="5:6" ht="13.8" x14ac:dyDescent="0.3">
      <c r="E436" s="4"/>
      <c r="F436" s="4"/>
    </row>
    <row r="437" spans="5:6" ht="13.8" x14ac:dyDescent="0.3">
      <c r="E437" s="4"/>
      <c r="F437" s="4"/>
    </row>
    <row r="438" spans="5:6" ht="13.8" x14ac:dyDescent="0.3">
      <c r="E438" s="4"/>
      <c r="F438" s="4"/>
    </row>
    <row r="439" spans="5:6" ht="13.8" x14ac:dyDescent="0.3">
      <c r="E439" s="4"/>
      <c r="F439" s="4"/>
    </row>
    <row r="440" spans="5:6" ht="13.8" x14ac:dyDescent="0.3">
      <c r="E440" s="4"/>
      <c r="F440" s="4"/>
    </row>
    <row r="441" spans="5:6" ht="13.8" x14ac:dyDescent="0.3">
      <c r="E441" s="4"/>
      <c r="F441" s="4"/>
    </row>
    <row r="442" spans="5:6" ht="13.8" x14ac:dyDescent="0.3">
      <c r="E442" s="4"/>
      <c r="F442" s="4"/>
    </row>
    <row r="443" spans="5:6" ht="13.8" x14ac:dyDescent="0.3">
      <c r="E443" s="4"/>
      <c r="F443" s="4"/>
    </row>
    <row r="444" spans="5:6" ht="13.8" x14ac:dyDescent="0.3">
      <c r="E444" s="4"/>
      <c r="F444" s="4"/>
    </row>
    <row r="445" spans="5:6" ht="13.8" x14ac:dyDescent="0.3">
      <c r="E445" s="4"/>
      <c r="F445" s="4"/>
    </row>
    <row r="446" spans="5:6" ht="13.8" x14ac:dyDescent="0.3">
      <c r="E446" s="4"/>
      <c r="F446" s="4"/>
    </row>
    <row r="447" spans="5:6" ht="13.8" x14ac:dyDescent="0.3">
      <c r="E447" s="4"/>
      <c r="F447" s="4"/>
    </row>
    <row r="448" spans="5:6" ht="13.8" x14ac:dyDescent="0.3">
      <c r="E448" s="4"/>
      <c r="F448" s="4"/>
    </row>
    <row r="449" spans="5:6" ht="13.8" x14ac:dyDescent="0.3">
      <c r="E449" s="4"/>
      <c r="F449" s="4"/>
    </row>
    <row r="450" spans="5:6" ht="13.8" x14ac:dyDescent="0.3">
      <c r="E450" s="4"/>
      <c r="F450" s="4"/>
    </row>
    <row r="451" spans="5:6" ht="13.8" x14ac:dyDescent="0.3">
      <c r="E451" s="4"/>
      <c r="F451" s="4"/>
    </row>
    <row r="452" spans="5:6" ht="13.8" x14ac:dyDescent="0.3">
      <c r="E452" s="4"/>
      <c r="F452" s="4"/>
    </row>
    <row r="453" spans="5:6" ht="13.8" x14ac:dyDescent="0.3">
      <c r="E453" s="4"/>
      <c r="F453" s="4"/>
    </row>
    <row r="454" spans="5:6" ht="13.8" x14ac:dyDescent="0.3">
      <c r="E454" s="4"/>
      <c r="F454" s="4"/>
    </row>
    <row r="455" spans="5:6" ht="13.8" x14ac:dyDescent="0.3">
      <c r="E455" s="4"/>
      <c r="F455" s="4"/>
    </row>
    <row r="456" spans="5:6" ht="13.8" x14ac:dyDescent="0.3">
      <c r="E456" s="4"/>
      <c r="F456" s="4"/>
    </row>
    <row r="457" spans="5:6" ht="13.8" x14ac:dyDescent="0.3">
      <c r="E457" s="4"/>
      <c r="F457" s="4"/>
    </row>
    <row r="458" spans="5:6" ht="13.8" x14ac:dyDescent="0.3">
      <c r="E458" s="4"/>
      <c r="F458" s="4"/>
    </row>
    <row r="459" spans="5:6" ht="13.8" x14ac:dyDescent="0.3">
      <c r="E459" s="4"/>
      <c r="F459" s="4"/>
    </row>
    <row r="460" spans="5:6" ht="13.8" x14ac:dyDescent="0.3">
      <c r="E460" s="4"/>
      <c r="F460" s="4"/>
    </row>
    <row r="461" spans="5:6" ht="13.8" x14ac:dyDescent="0.3">
      <c r="E461" s="4"/>
      <c r="F461" s="4"/>
    </row>
    <row r="462" spans="5:6" ht="13.8" x14ac:dyDescent="0.3">
      <c r="E462" s="4"/>
      <c r="F462" s="4"/>
    </row>
    <row r="463" spans="5:6" ht="13.8" x14ac:dyDescent="0.3">
      <c r="E463" s="4"/>
      <c r="F463" s="4"/>
    </row>
    <row r="464" spans="5:6" ht="13.8" x14ac:dyDescent="0.3">
      <c r="E464" s="4"/>
      <c r="F464" s="4"/>
    </row>
    <row r="465" spans="5:6" ht="13.8" x14ac:dyDescent="0.3">
      <c r="E465" s="4"/>
      <c r="F465" s="4"/>
    </row>
    <row r="466" spans="5:6" ht="13.8" x14ac:dyDescent="0.3">
      <c r="E466" s="4"/>
      <c r="F466" s="4"/>
    </row>
    <row r="467" spans="5:6" ht="13.8" x14ac:dyDescent="0.3">
      <c r="E467" s="4"/>
      <c r="F467" s="4"/>
    </row>
    <row r="468" spans="5:6" ht="13.8" x14ac:dyDescent="0.3">
      <c r="E468" s="4"/>
      <c r="F468" s="4"/>
    </row>
    <row r="469" spans="5:6" ht="13.8" x14ac:dyDescent="0.3">
      <c r="E469" s="4"/>
      <c r="F469" s="4"/>
    </row>
    <row r="470" spans="5:6" ht="13.8" x14ac:dyDescent="0.3">
      <c r="E470" s="4"/>
      <c r="F470" s="4"/>
    </row>
    <row r="471" spans="5:6" ht="13.8" x14ac:dyDescent="0.3">
      <c r="E471" s="4"/>
      <c r="F471" s="4"/>
    </row>
    <row r="472" spans="5:6" ht="13.8" x14ac:dyDescent="0.3">
      <c r="E472" s="4"/>
      <c r="F472" s="4"/>
    </row>
    <row r="473" spans="5:6" ht="13.8" x14ac:dyDescent="0.3">
      <c r="E473" s="4"/>
      <c r="F473" s="4"/>
    </row>
    <row r="474" spans="5:6" ht="13.8" x14ac:dyDescent="0.3">
      <c r="E474" s="4"/>
      <c r="F474" s="4"/>
    </row>
    <row r="475" spans="5:6" ht="13.8" x14ac:dyDescent="0.3">
      <c r="E475" s="4"/>
      <c r="F475" s="4"/>
    </row>
    <row r="476" spans="5:6" ht="13.8" x14ac:dyDescent="0.3">
      <c r="E476" s="4"/>
      <c r="F476" s="4"/>
    </row>
    <row r="477" spans="5:6" ht="13.8" x14ac:dyDescent="0.3">
      <c r="E477" s="4"/>
      <c r="F477" s="4"/>
    </row>
    <row r="478" spans="5:6" ht="13.8" x14ac:dyDescent="0.3">
      <c r="E478" s="4"/>
      <c r="F478" s="4"/>
    </row>
    <row r="479" spans="5:6" ht="13.8" x14ac:dyDescent="0.3">
      <c r="E479" s="4"/>
      <c r="F479" s="4"/>
    </row>
    <row r="480" spans="5:6" ht="13.8" x14ac:dyDescent="0.3">
      <c r="E480" s="4"/>
      <c r="F480" s="4"/>
    </row>
    <row r="481" spans="5:6" ht="13.8" x14ac:dyDescent="0.3">
      <c r="E481" s="4"/>
      <c r="F481" s="4"/>
    </row>
    <row r="482" spans="5:6" ht="13.8" x14ac:dyDescent="0.3">
      <c r="E482" s="4"/>
      <c r="F482" s="4"/>
    </row>
    <row r="483" spans="5:6" ht="13.8" x14ac:dyDescent="0.3">
      <c r="E483" s="4"/>
      <c r="F483" s="4"/>
    </row>
    <row r="484" spans="5:6" ht="13.8" x14ac:dyDescent="0.3">
      <c r="E484" s="4"/>
      <c r="F484" s="4"/>
    </row>
    <row r="485" spans="5:6" ht="13.8" x14ac:dyDescent="0.3">
      <c r="E485" s="4"/>
      <c r="F485" s="4"/>
    </row>
    <row r="486" spans="5:6" ht="13.8" x14ac:dyDescent="0.3">
      <c r="E486" s="4"/>
      <c r="F486" s="4"/>
    </row>
    <row r="487" spans="5:6" ht="13.8" x14ac:dyDescent="0.3">
      <c r="E487" s="4"/>
      <c r="F487" s="4"/>
    </row>
    <row r="488" spans="5:6" ht="13.8" x14ac:dyDescent="0.3">
      <c r="E488" s="4"/>
      <c r="F488" s="4"/>
    </row>
    <row r="489" spans="5:6" ht="13.8" x14ac:dyDescent="0.3">
      <c r="E489" s="4"/>
      <c r="F489" s="4"/>
    </row>
    <row r="490" spans="5:6" ht="13.8" x14ac:dyDescent="0.3">
      <c r="E490" s="4"/>
      <c r="F490" s="4"/>
    </row>
    <row r="491" spans="5:6" ht="13.8" x14ac:dyDescent="0.3">
      <c r="E491" s="4"/>
      <c r="F491" s="4"/>
    </row>
    <row r="492" spans="5:6" ht="13.8" x14ac:dyDescent="0.3">
      <c r="E492" s="4"/>
      <c r="F492" s="4"/>
    </row>
    <row r="493" spans="5:6" ht="13.8" x14ac:dyDescent="0.3">
      <c r="E493" s="4"/>
      <c r="F493" s="4"/>
    </row>
    <row r="494" spans="5:6" ht="13.8" x14ac:dyDescent="0.3">
      <c r="E494" s="4"/>
      <c r="F494" s="4"/>
    </row>
    <row r="495" spans="5:6" ht="13.8" x14ac:dyDescent="0.3">
      <c r="E495" s="4"/>
      <c r="F495" s="4"/>
    </row>
    <row r="496" spans="5:6" ht="13.8" x14ac:dyDescent="0.3">
      <c r="E496" s="4"/>
      <c r="F496" s="4"/>
    </row>
    <row r="497" spans="5:6" ht="13.8" x14ac:dyDescent="0.3">
      <c r="E497" s="4"/>
      <c r="F497" s="4"/>
    </row>
    <row r="498" spans="5:6" ht="13.8" x14ac:dyDescent="0.3">
      <c r="E498" s="4"/>
      <c r="F498" s="4"/>
    </row>
    <row r="499" spans="5:6" ht="13.8" x14ac:dyDescent="0.3">
      <c r="E499" s="4"/>
      <c r="F499" s="4"/>
    </row>
    <row r="500" spans="5:6" ht="13.8" x14ac:dyDescent="0.3">
      <c r="E500" s="4"/>
      <c r="F500" s="4"/>
    </row>
    <row r="501" spans="5:6" ht="13.8" x14ac:dyDescent="0.3">
      <c r="E501" s="4"/>
      <c r="F501" s="4"/>
    </row>
    <row r="502" spans="5:6" ht="13.8" x14ac:dyDescent="0.3">
      <c r="E502" s="4"/>
      <c r="F502" s="4"/>
    </row>
    <row r="503" spans="5:6" ht="13.8" x14ac:dyDescent="0.3">
      <c r="E503" s="4"/>
      <c r="F503" s="4"/>
    </row>
    <row r="504" spans="5:6" ht="13.8" x14ac:dyDescent="0.3">
      <c r="E504" s="4"/>
      <c r="F504" s="4"/>
    </row>
    <row r="505" spans="5:6" ht="13.8" x14ac:dyDescent="0.3">
      <c r="E505" s="4"/>
      <c r="F505" s="4"/>
    </row>
    <row r="506" spans="5:6" ht="13.8" x14ac:dyDescent="0.3">
      <c r="E506" s="4"/>
      <c r="F506" s="4"/>
    </row>
    <row r="507" spans="5:6" ht="13.8" x14ac:dyDescent="0.3">
      <c r="E507" s="4"/>
      <c r="F507" s="4"/>
    </row>
    <row r="508" spans="5:6" ht="13.8" x14ac:dyDescent="0.3">
      <c r="E508" s="4"/>
      <c r="F508" s="4"/>
    </row>
    <row r="509" spans="5:6" ht="13.8" x14ac:dyDescent="0.3">
      <c r="E509" s="4"/>
      <c r="F509" s="4"/>
    </row>
    <row r="510" spans="5:6" ht="13.8" x14ac:dyDescent="0.3">
      <c r="E510" s="4"/>
      <c r="F510" s="4"/>
    </row>
    <row r="511" spans="5:6" ht="13.8" x14ac:dyDescent="0.3">
      <c r="E511" s="4"/>
      <c r="F511" s="4"/>
    </row>
    <row r="512" spans="5:6" ht="13.8" x14ac:dyDescent="0.3">
      <c r="E512" s="4"/>
      <c r="F512" s="4"/>
    </row>
    <row r="513" spans="5:6" ht="13.8" x14ac:dyDescent="0.3">
      <c r="E513" s="4"/>
      <c r="F513" s="4"/>
    </row>
    <row r="514" spans="5:6" ht="13.8" x14ac:dyDescent="0.3">
      <c r="E514" s="4"/>
      <c r="F514" s="4"/>
    </row>
    <row r="515" spans="5:6" ht="13.8" x14ac:dyDescent="0.3">
      <c r="E515" s="4"/>
      <c r="F515" s="4"/>
    </row>
    <row r="516" spans="5:6" ht="13.8" x14ac:dyDescent="0.3">
      <c r="E516" s="4"/>
      <c r="F516" s="4"/>
    </row>
    <row r="517" spans="5:6" ht="13.8" x14ac:dyDescent="0.3">
      <c r="E517" s="4"/>
      <c r="F517" s="4"/>
    </row>
    <row r="518" spans="5:6" ht="13.8" x14ac:dyDescent="0.3">
      <c r="E518" s="4"/>
      <c r="F518" s="4"/>
    </row>
    <row r="519" spans="5:6" ht="13.8" x14ac:dyDescent="0.3">
      <c r="E519" s="4"/>
      <c r="F519" s="4"/>
    </row>
    <row r="520" spans="5:6" ht="13.8" x14ac:dyDescent="0.3">
      <c r="E520" s="4"/>
      <c r="F520" s="4"/>
    </row>
    <row r="521" spans="5:6" ht="13.8" x14ac:dyDescent="0.3">
      <c r="E521" s="4"/>
      <c r="F521" s="4"/>
    </row>
    <row r="522" spans="5:6" ht="13.8" x14ac:dyDescent="0.3">
      <c r="E522" s="4"/>
      <c r="F522" s="4"/>
    </row>
    <row r="523" spans="5:6" ht="13.8" x14ac:dyDescent="0.3">
      <c r="E523" s="4"/>
      <c r="F523" s="4"/>
    </row>
    <row r="524" spans="5:6" ht="13.8" x14ac:dyDescent="0.3">
      <c r="E524" s="4"/>
      <c r="F524" s="4"/>
    </row>
    <row r="525" spans="5:6" ht="13.8" x14ac:dyDescent="0.3">
      <c r="E525" s="4"/>
      <c r="F525" s="4"/>
    </row>
    <row r="526" spans="5:6" ht="13.8" x14ac:dyDescent="0.3">
      <c r="E526" s="4"/>
      <c r="F526" s="4"/>
    </row>
    <row r="527" spans="5:6" ht="13.8" x14ac:dyDescent="0.3">
      <c r="E527" s="4"/>
      <c r="F527" s="4"/>
    </row>
    <row r="528" spans="5:6" ht="13.8" x14ac:dyDescent="0.3">
      <c r="E528" s="4"/>
      <c r="F528" s="4"/>
    </row>
    <row r="529" spans="5:6" ht="13.8" x14ac:dyDescent="0.3">
      <c r="E529" s="4"/>
      <c r="F529" s="4"/>
    </row>
    <row r="530" spans="5:6" ht="13.8" x14ac:dyDescent="0.3">
      <c r="E530" s="4"/>
      <c r="F530" s="4"/>
    </row>
    <row r="531" spans="5:6" ht="13.8" x14ac:dyDescent="0.3">
      <c r="E531" s="4"/>
      <c r="F531" s="4"/>
    </row>
    <row r="532" spans="5:6" ht="13.8" x14ac:dyDescent="0.3">
      <c r="E532" s="4"/>
      <c r="F532" s="4"/>
    </row>
    <row r="533" spans="5:6" ht="13.8" x14ac:dyDescent="0.3">
      <c r="E533" s="4"/>
      <c r="F533" s="4"/>
    </row>
    <row r="534" spans="5:6" ht="13.8" x14ac:dyDescent="0.3">
      <c r="E534" s="4"/>
      <c r="F534" s="4"/>
    </row>
    <row r="535" spans="5:6" ht="13.8" x14ac:dyDescent="0.3">
      <c r="E535" s="4"/>
      <c r="F535" s="4"/>
    </row>
    <row r="536" spans="5:6" ht="13.8" x14ac:dyDescent="0.3">
      <c r="E536" s="4"/>
      <c r="F536" s="4"/>
    </row>
    <row r="537" spans="5:6" ht="13.8" x14ac:dyDescent="0.3">
      <c r="E537" s="4"/>
      <c r="F537" s="4"/>
    </row>
    <row r="538" spans="5:6" ht="13.8" x14ac:dyDescent="0.3">
      <c r="E538" s="4"/>
      <c r="F538" s="4"/>
    </row>
    <row r="539" spans="5:6" ht="13.8" x14ac:dyDescent="0.3">
      <c r="E539" s="4"/>
      <c r="F539" s="4"/>
    </row>
    <row r="540" spans="5:6" ht="13.8" x14ac:dyDescent="0.3">
      <c r="E540" s="4"/>
      <c r="F540" s="4"/>
    </row>
    <row r="541" spans="5:6" ht="13.8" x14ac:dyDescent="0.3">
      <c r="E541" s="4"/>
      <c r="F541" s="4"/>
    </row>
    <row r="542" spans="5:6" ht="13.8" x14ac:dyDescent="0.3">
      <c r="E542" s="4"/>
      <c r="F542" s="4"/>
    </row>
    <row r="543" spans="5:6" ht="13.8" x14ac:dyDescent="0.3">
      <c r="E543" s="4"/>
      <c r="F543" s="4"/>
    </row>
    <row r="544" spans="5:6" ht="13.8" x14ac:dyDescent="0.3">
      <c r="E544" s="4"/>
      <c r="F544" s="4"/>
    </row>
    <row r="545" spans="5:6" ht="13.8" x14ac:dyDescent="0.3">
      <c r="E545" s="4"/>
      <c r="F545" s="4"/>
    </row>
    <row r="546" spans="5:6" ht="13.8" x14ac:dyDescent="0.3">
      <c r="E546" s="4"/>
      <c r="F546" s="4"/>
    </row>
    <row r="547" spans="5:6" ht="13.8" x14ac:dyDescent="0.3">
      <c r="E547" s="4"/>
      <c r="F547" s="4"/>
    </row>
    <row r="548" spans="5:6" ht="13.8" x14ac:dyDescent="0.3">
      <c r="E548" s="4"/>
      <c r="F548" s="4"/>
    </row>
    <row r="549" spans="5:6" ht="13.8" x14ac:dyDescent="0.3">
      <c r="E549" s="4"/>
      <c r="F549" s="4"/>
    </row>
    <row r="550" spans="5:6" ht="13.8" x14ac:dyDescent="0.3">
      <c r="E550" s="4"/>
      <c r="F550" s="4"/>
    </row>
    <row r="551" spans="5:6" ht="13.8" x14ac:dyDescent="0.3">
      <c r="E551" s="4"/>
      <c r="F551" s="4"/>
    </row>
    <row r="552" spans="5:6" ht="13.8" x14ac:dyDescent="0.3">
      <c r="E552" s="4"/>
      <c r="F552" s="4"/>
    </row>
    <row r="553" spans="5:6" ht="13.8" x14ac:dyDescent="0.3">
      <c r="E553" s="4"/>
      <c r="F553" s="4"/>
    </row>
    <row r="554" spans="5:6" ht="13.8" x14ac:dyDescent="0.3">
      <c r="E554" s="4"/>
      <c r="F554" s="4"/>
    </row>
    <row r="555" spans="5:6" ht="13.8" x14ac:dyDescent="0.3">
      <c r="E555" s="4"/>
      <c r="F555" s="4"/>
    </row>
    <row r="556" spans="5:6" ht="13.8" x14ac:dyDescent="0.3">
      <c r="E556" s="4"/>
      <c r="F556" s="4"/>
    </row>
    <row r="557" spans="5:6" ht="13.8" x14ac:dyDescent="0.3">
      <c r="E557" s="4"/>
      <c r="F557" s="4"/>
    </row>
    <row r="558" spans="5:6" ht="13.8" x14ac:dyDescent="0.3">
      <c r="E558" s="4"/>
      <c r="F558" s="4"/>
    </row>
    <row r="559" spans="5:6" ht="13.8" x14ac:dyDescent="0.3">
      <c r="E559" s="4"/>
      <c r="F559" s="4"/>
    </row>
    <row r="560" spans="5:6" ht="13.8" x14ac:dyDescent="0.3">
      <c r="E560" s="4"/>
      <c r="F560" s="4"/>
    </row>
    <row r="561" spans="5:6" ht="13.8" x14ac:dyDescent="0.3">
      <c r="E561" s="4"/>
      <c r="F561" s="4"/>
    </row>
    <row r="562" spans="5:6" ht="13.8" x14ac:dyDescent="0.3">
      <c r="E562" s="4"/>
      <c r="F562" s="4"/>
    </row>
    <row r="563" spans="5:6" ht="13.8" x14ac:dyDescent="0.3">
      <c r="E563" s="4"/>
      <c r="F563" s="4"/>
    </row>
    <row r="564" spans="5:6" ht="13.8" x14ac:dyDescent="0.3">
      <c r="E564" s="4"/>
      <c r="F564" s="4"/>
    </row>
    <row r="565" spans="5:6" ht="13.8" x14ac:dyDescent="0.3">
      <c r="E565" s="4"/>
      <c r="F565" s="4"/>
    </row>
    <row r="566" spans="5:6" ht="13.8" x14ac:dyDescent="0.3">
      <c r="E566" s="4"/>
      <c r="F566" s="4"/>
    </row>
    <row r="567" spans="5:6" ht="13.8" x14ac:dyDescent="0.3">
      <c r="E567" s="4"/>
      <c r="F567" s="4"/>
    </row>
    <row r="568" spans="5:6" ht="13.8" x14ac:dyDescent="0.3">
      <c r="E568" s="4"/>
      <c r="F568" s="4"/>
    </row>
    <row r="569" spans="5:6" ht="13.8" x14ac:dyDescent="0.3">
      <c r="E569" s="4"/>
      <c r="F569" s="4"/>
    </row>
    <row r="570" spans="5:6" ht="13.8" x14ac:dyDescent="0.3">
      <c r="E570" s="4"/>
      <c r="F570" s="4"/>
    </row>
    <row r="571" spans="5:6" ht="13.8" x14ac:dyDescent="0.3">
      <c r="E571" s="4"/>
      <c r="F571" s="4"/>
    </row>
    <row r="572" spans="5:6" ht="13.8" x14ac:dyDescent="0.3">
      <c r="E572" s="4"/>
      <c r="F572" s="4"/>
    </row>
    <row r="573" spans="5:6" ht="13.8" x14ac:dyDescent="0.3">
      <c r="E573" s="4"/>
      <c r="F573" s="4"/>
    </row>
    <row r="574" spans="5:6" ht="13.8" x14ac:dyDescent="0.3">
      <c r="E574" s="4"/>
      <c r="F574" s="4"/>
    </row>
    <row r="575" spans="5:6" ht="13.8" x14ac:dyDescent="0.3">
      <c r="E575" s="4"/>
      <c r="F575" s="4"/>
    </row>
    <row r="576" spans="5:6" ht="13.8" x14ac:dyDescent="0.3">
      <c r="E576" s="4"/>
      <c r="F576" s="4"/>
    </row>
    <row r="577" spans="5:6" ht="13.8" x14ac:dyDescent="0.3">
      <c r="E577" s="4"/>
      <c r="F577" s="4"/>
    </row>
    <row r="578" spans="5:6" ht="13.8" x14ac:dyDescent="0.3">
      <c r="E578" s="4"/>
      <c r="F578" s="4"/>
    </row>
    <row r="579" spans="5:6" ht="13.8" x14ac:dyDescent="0.3">
      <c r="E579" s="4"/>
      <c r="F579" s="4"/>
    </row>
    <row r="580" spans="5:6" ht="13.8" x14ac:dyDescent="0.3">
      <c r="E580" s="4"/>
      <c r="F580" s="4"/>
    </row>
    <row r="581" spans="5:6" ht="13.8" x14ac:dyDescent="0.3">
      <c r="E581" s="4"/>
      <c r="F581" s="4"/>
    </row>
    <row r="582" spans="5:6" ht="13.8" x14ac:dyDescent="0.3">
      <c r="E582" s="4"/>
      <c r="F582" s="4"/>
    </row>
    <row r="583" spans="5:6" ht="13.8" x14ac:dyDescent="0.3">
      <c r="E583" s="4"/>
      <c r="F583" s="4"/>
    </row>
    <row r="584" spans="5:6" ht="13.8" x14ac:dyDescent="0.3">
      <c r="E584" s="4"/>
      <c r="F584" s="4"/>
    </row>
    <row r="585" spans="5:6" ht="13.8" x14ac:dyDescent="0.3">
      <c r="E585" s="4"/>
      <c r="F585" s="4"/>
    </row>
    <row r="586" spans="5:6" ht="13.8" x14ac:dyDescent="0.3">
      <c r="E586" s="4"/>
      <c r="F586" s="4"/>
    </row>
    <row r="587" spans="5:6" ht="13.8" x14ac:dyDescent="0.3">
      <c r="E587" s="4"/>
      <c r="F587" s="4"/>
    </row>
    <row r="588" spans="5:6" ht="13.8" x14ac:dyDescent="0.3">
      <c r="E588" s="4"/>
      <c r="F588" s="4"/>
    </row>
    <row r="589" spans="5:6" ht="13.8" x14ac:dyDescent="0.3">
      <c r="E589" s="4"/>
      <c r="F589" s="4"/>
    </row>
    <row r="590" spans="5:6" ht="13.8" x14ac:dyDescent="0.3">
      <c r="E590" s="4"/>
      <c r="F590" s="4"/>
    </row>
    <row r="591" spans="5:6" ht="13.8" x14ac:dyDescent="0.3">
      <c r="E591" s="4"/>
      <c r="F591" s="4"/>
    </row>
    <row r="592" spans="5:6" ht="13.8" x14ac:dyDescent="0.3">
      <c r="E592" s="4"/>
      <c r="F592" s="4"/>
    </row>
    <row r="593" spans="5:6" ht="13.8" x14ac:dyDescent="0.3">
      <c r="E593" s="4"/>
      <c r="F593" s="4"/>
    </row>
    <row r="594" spans="5:6" ht="13.8" x14ac:dyDescent="0.3">
      <c r="E594" s="4"/>
      <c r="F594" s="4"/>
    </row>
    <row r="595" spans="5:6" ht="13.8" x14ac:dyDescent="0.3">
      <c r="E595" s="4"/>
      <c r="F595" s="4"/>
    </row>
    <row r="596" spans="5:6" ht="13.8" x14ac:dyDescent="0.3">
      <c r="E596" s="4"/>
      <c r="F596" s="4"/>
    </row>
    <row r="597" spans="5:6" ht="13.8" x14ac:dyDescent="0.3">
      <c r="E597" s="4"/>
      <c r="F597" s="4"/>
    </row>
    <row r="598" spans="5:6" ht="13.8" x14ac:dyDescent="0.3">
      <c r="E598" s="4"/>
      <c r="F598" s="4"/>
    </row>
    <row r="599" spans="5:6" ht="13.8" x14ac:dyDescent="0.3">
      <c r="E599" s="4"/>
      <c r="F599" s="4"/>
    </row>
    <row r="600" spans="5:6" ht="13.8" x14ac:dyDescent="0.3">
      <c r="E600" s="4"/>
      <c r="F600" s="4"/>
    </row>
    <row r="601" spans="5:6" ht="13.8" x14ac:dyDescent="0.3">
      <c r="E601" s="4"/>
      <c r="F601" s="4"/>
    </row>
    <row r="602" spans="5:6" ht="13.8" x14ac:dyDescent="0.3">
      <c r="E602" s="4"/>
      <c r="F602" s="4"/>
    </row>
    <row r="603" spans="5:6" ht="13.8" x14ac:dyDescent="0.3">
      <c r="E603" s="4"/>
      <c r="F603" s="4"/>
    </row>
    <row r="604" spans="5:6" ht="13.8" x14ac:dyDescent="0.3">
      <c r="E604" s="4"/>
      <c r="F604" s="4"/>
    </row>
    <row r="605" spans="5:6" ht="13.8" x14ac:dyDescent="0.3">
      <c r="E605" s="4"/>
      <c r="F605" s="4"/>
    </row>
    <row r="606" spans="5:6" ht="13.8" x14ac:dyDescent="0.3">
      <c r="E606" s="4"/>
      <c r="F606" s="4"/>
    </row>
    <row r="607" spans="5:6" ht="13.8" x14ac:dyDescent="0.3">
      <c r="E607" s="4"/>
      <c r="F607" s="4"/>
    </row>
    <row r="608" spans="5:6" ht="13.8" x14ac:dyDescent="0.3">
      <c r="E608" s="4"/>
      <c r="F608" s="4"/>
    </row>
    <row r="609" spans="5:6" ht="13.8" x14ac:dyDescent="0.3">
      <c r="E609" s="4"/>
      <c r="F609" s="4"/>
    </row>
    <row r="610" spans="5:6" ht="13.8" x14ac:dyDescent="0.3">
      <c r="E610" s="4"/>
      <c r="F610" s="4"/>
    </row>
    <row r="611" spans="5:6" ht="13.8" x14ac:dyDescent="0.3">
      <c r="E611" s="4"/>
      <c r="F611" s="4"/>
    </row>
    <row r="612" spans="5:6" ht="13.8" x14ac:dyDescent="0.3">
      <c r="E612" s="4"/>
      <c r="F612" s="4"/>
    </row>
    <row r="613" spans="5:6" ht="13.8" x14ac:dyDescent="0.3">
      <c r="E613" s="4"/>
      <c r="F613" s="4"/>
    </row>
    <row r="614" spans="5:6" ht="13.8" x14ac:dyDescent="0.3">
      <c r="E614" s="4"/>
      <c r="F614" s="4"/>
    </row>
    <row r="615" spans="5:6" ht="13.8" x14ac:dyDescent="0.3">
      <c r="E615" s="4"/>
      <c r="F615" s="4"/>
    </row>
    <row r="616" spans="5:6" ht="13.8" x14ac:dyDescent="0.3">
      <c r="E616" s="4"/>
      <c r="F616" s="4"/>
    </row>
    <row r="617" spans="5:6" ht="13.8" x14ac:dyDescent="0.3">
      <c r="E617" s="4"/>
      <c r="F617" s="4"/>
    </row>
    <row r="618" spans="5:6" ht="13.8" x14ac:dyDescent="0.3">
      <c r="E618" s="4"/>
      <c r="F618" s="4"/>
    </row>
    <row r="619" spans="5:6" ht="13.8" x14ac:dyDescent="0.3">
      <c r="E619" s="4"/>
      <c r="F619" s="4"/>
    </row>
    <row r="620" spans="5:6" ht="13.8" x14ac:dyDescent="0.3">
      <c r="E620" s="4"/>
      <c r="F620" s="4"/>
    </row>
    <row r="621" spans="5:6" ht="13.8" x14ac:dyDescent="0.3">
      <c r="E621" s="4"/>
      <c r="F621" s="4"/>
    </row>
    <row r="622" spans="5:6" ht="13.8" x14ac:dyDescent="0.3">
      <c r="E622" s="4"/>
      <c r="F622" s="4"/>
    </row>
    <row r="623" spans="5:6" ht="13.8" x14ac:dyDescent="0.3">
      <c r="E623" s="4"/>
      <c r="F623" s="4"/>
    </row>
    <row r="624" spans="5:6" ht="13.8" x14ac:dyDescent="0.3">
      <c r="E624" s="4"/>
      <c r="F624" s="4"/>
    </row>
    <row r="625" spans="5:6" ht="13.8" x14ac:dyDescent="0.3">
      <c r="E625" s="4"/>
      <c r="F625" s="4"/>
    </row>
    <row r="626" spans="5:6" ht="13.8" x14ac:dyDescent="0.3">
      <c r="E626" s="4"/>
      <c r="F626" s="4"/>
    </row>
    <row r="627" spans="5:6" ht="13.8" x14ac:dyDescent="0.3">
      <c r="E627" s="4"/>
      <c r="F627" s="4"/>
    </row>
    <row r="628" spans="5:6" ht="13.8" x14ac:dyDescent="0.3">
      <c r="E628" s="4"/>
      <c r="F628" s="4"/>
    </row>
    <row r="629" spans="5:6" ht="13.8" x14ac:dyDescent="0.3">
      <c r="E629" s="4"/>
      <c r="F629" s="4"/>
    </row>
    <row r="630" spans="5:6" ht="13.8" x14ac:dyDescent="0.3">
      <c r="E630" s="4"/>
      <c r="F630" s="4"/>
    </row>
    <row r="631" spans="5:6" ht="13.8" x14ac:dyDescent="0.3">
      <c r="E631" s="4"/>
      <c r="F631" s="4"/>
    </row>
    <row r="632" spans="5:6" ht="13.8" x14ac:dyDescent="0.3">
      <c r="E632" s="4"/>
      <c r="F632" s="4"/>
    </row>
    <row r="633" spans="5:6" ht="13.8" x14ac:dyDescent="0.3">
      <c r="E633" s="4"/>
      <c r="F633" s="4"/>
    </row>
    <row r="634" spans="5:6" ht="13.8" x14ac:dyDescent="0.3">
      <c r="E634" s="4"/>
      <c r="F634" s="4"/>
    </row>
    <row r="635" spans="5:6" ht="13.8" x14ac:dyDescent="0.3">
      <c r="E635" s="4"/>
      <c r="F635" s="4"/>
    </row>
    <row r="636" spans="5:6" ht="13.8" x14ac:dyDescent="0.3">
      <c r="E636" s="4"/>
      <c r="F636" s="4"/>
    </row>
    <row r="637" spans="5:6" ht="13.8" x14ac:dyDescent="0.3">
      <c r="E637" s="4"/>
      <c r="F637" s="4"/>
    </row>
    <row r="638" spans="5:6" ht="13.8" x14ac:dyDescent="0.3">
      <c r="E638" s="4"/>
      <c r="F638" s="4"/>
    </row>
    <row r="639" spans="5:6" ht="13.8" x14ac:dyDescent="0.3">
      <c r="E639" s="4"/>
      <c r="F639" s="4"/>
    </row>
    <row r="640" spans="5:6" ht="13.8" x14ac:dyDescent="0.3">
      <c r="E640" s="4"/>
      <c r="F640" s="4"/>
    </row>
    <row r="641" spans="5:6" ht="13.8" x14ac:dyDescent="0.3">
      <c r="E641" s="4"/>
      <c r="F641" s="4"/>
    </row>
    <row r="642" spans="5:6" ht="13.8" x14ac:dyDescent="0.3">
      <c r="E642" s="4"/>
      <c r="F642" s="4"/>
    </row>
    <row r="643" spans="5:6" ht="13.8" x14ac:dyDescent="0.3">
      <c r="E643" s="4"/>
      <c r="F643" s="4"/>
    </row>
    <row r="644" spans="5:6" ht="13.8" x14ac:dyDescent="0.3">
      <c r="E644" s="4"/>
      <c r="F644" s="4"/>
    </row>
    <row r="645" spans="5:6" ht="13.8" x14ac:dyDescent="0.3">
      <c r="E645" s="4"/>
      <c r="F645" s="4"/>
    </row>
    <row r="646" spans="5:6" ht="13.8" x14ac:dyDescent="0.3">
      <c r="E646" s="4"/>
      <c r="F646" s="4"/>
    </row>
    <row r="647" spans="5:6" ht="13.8" x14ac:dyDescent="0.3">
      <c r="E647" s="4"/>
      <c r="F647" s="4"/>
    </row>
    <row r="648" spans="5:6" ht="13.8" x14ac:dyDescent="0.3">
      <c r="E648" s="4"/>
      <c r="F648" s="4"/>
    </row>
    <row r="649" spans="5:6" ht="13.8" x14ac:dyDescent="0.3">
      <c r="E649" s="4"/>
      <c r="F649" s="4"/>
    </row>
    <row r="650" spans="5:6" ht="13.8" x14ac:dyDescent="0.3">
      <c r="E650" s="4"/>
      <c r="F650" s="4"/>
    </row>
    <row r="651" spans="5:6" ht="13.8" x14ac:dyDescent="0.3">
      <c r="E651" s="4"/>
      <c r="F651" s="4"/>
    </row>
    <row r="652" spans="5:6" ht="13.8" x14ac:dyDescent="0.3">
      <c r="E652" s="4"/>
      <c r="F652" s="4"/>
    </row>
    <row r="653" spans="5:6" ht="13.8" x14ac:dyDescent="0.3">
      <c r="E653" s="4"/>
      <c r="F653" s="4"/>
    </row>
    <row r="654" spans="5:6" ht="13.8" x14ac:dyDescent="0.3">
      <c r="E654" s="4"/>
      <c r="F654" s="4"/>
    </row>
    <row r="655" spans="5:6" ht="13.8" x14ac:dyDescent="0.3">
      <c r="E655" s="4"/>
      <c r="F655" s="4"/>
    </row>
    <row r="656" spans="5:6" ht="13.8" x14ac:dyDescent="0.3">
      <c r="E656" s="4"/>
      <c r="F656" s="4"/>
    </row>
    <row r="657" spans="5:6" ht="13.8" x14ac:dyDescent="0.3">
      <c r="E657" s="4"/>
      <c r="F657" s="4"/>
    </row>
    <row r="658" spans="5:6" ht="13.8" x14ac:dyDescent="0.3">
      <c r="E658" s="4"/>
      <c r="F658" s="4"/>
    </row>
    <row r="659" spans="5:6" ht="13.8" x14ac:dyDescent="0.3">
      <c r="E659" s="4"/>
      <c r="F659" s="4"/>
    </row>
    <row r="660" spans="5:6" ht="13.8" x14ac:dyDescent="0.3">
      <c r="E660" s="4"/>
      <c r="F660" s="4"/>
    </row>
    <row r="661" spans="5:6" ht="13.8" x14ac:dyDescent="0.3">
      <c r="E661" s="4"/>
      <c r="F661" s="4"/>
    </row>
    <row r="662" spans="5:6" ht="13.8" x14ac:dyDescent="0.3">
      <c r="E662" s="4"/>
      <c r="F662" s="4"/>
    </row>
    <row r="663" spans="5:6" ht="13.8" x14ac:dyDescent="0.3">
      <c r="E663" s="4"/>
      <c r="F663" s="4"/>
    </row>
    <row r="664" spans="5:6" ht="13.8" x14ac:dyDescent="0.3">
      <c r="E664" s="4"/>
      <c r="F664" s="4"/>
    </row>
    <row r="665" spans="5:6" ht="13.8" x14ac:dyDescent="0.3">
      <c r="E665" s="4"/>
      <c r="F665" s="4"/>
    </row>
    <row r="666" spans="5:6" ht="13.8" x14ac:dyDescent="0.3">
      <c r="E666" s="4"/>
      <c r="F666" s="4"/>
    </row>
    <row r="667" spans="5:6" ht="13.8" x14ac:dyDescent="0.3">
      <c r="E667" s="4"/>
      <c r="F667" s="4"/>
    </row>
    <row r="668" spans="5:6" ht="13.8" x14ac:dyDescent="0.3">
      <c r="E668" s="4"/>
      <c r="F668" s="4"/>
    </row>
    <row r="669" spans="5:6" ht="13.8" x14ac:dyDescent="0.3">
      <c r="E669" s="4"/>
      <c r="F669" s="4"/>
    </row>
    <row r="670" spans="5:6" ht="13.8" x14ac:dyDescent="0.3">
      <c r="E670" s="4"/>
      <c r="F670" s="4"/>
    </row>
    <row r="671" spans="5:6" ht="13.8" x14ac:dyDescent="0.3">
      <c r="E671" s="4"/>
      <c r="F671" s="4"/>
    </row>
    <row r="672" spans="5:6" ht="13.8" x14ac:dyDescent="0.3">
      <c r="E672" s="4"/>
      <c r="F672" s="4"/>
    </row>
    <row r="673" spans="5:6" ht="13.8" x14ac:dyDescent="0.3">
      <c r="E673" s="4"/>
      <c r="F673" s="4"/>
    </row>
    <row r="674" spans="5:6" ht="13.8" x14ac:dyDescent="0.3">
      <c r="E674" s="4"/>
      <c r="F674" s="4"/>
    </row>
    <row r="675" spans="5:6" ht="13.8" x14ac:dyDescent="0.3">
      <c r="E675" s="4"/>
      <c r="F675" s="4"/>
    </row>
    <row r="676" spans="5:6" ht="13.8" x14ac:dyDescent="0.3">
      <c r="E676" s="4"/>
      <c r="F676" s="4"/>
    </row>
    <row r="677" spans="5:6" ht="13.8" x14ac:dyDescent="0.3">
      <c r="E677" s="4"/>
      <c r="F677" s="4"/>
    </row>
    <row r="678" spans="5:6" ht="13.8" x14ac:dyDescent="0.3">
      <c r="E678" s="4"/>
      <c r="F678" s="4"/>
    </row>
    <row r="679" spans="5:6" ht="13.8" x14ac:dyDescent="0.3">
      <c r="E679" s="4"/>
      <c r="F679" s="4"/>
    </row>
    <row r="680" spans="5:6" ht="13.8" x14ac:dyDescent="0.3">
      <c r="E680" s="4"/>
      <c r="F680" s="4"/>
    </row>
    <row r="681" spans="5:6" ht="13.8" x14ac:dyDescent="0.3">
      <c r="E681" s="4"/>
      <c r="F681" s="4"/>
    </row>
    <row r="682" spans="5:6" ht="13.8" x14ac:dyDescent="0.3">
      <c r="E682" s="4"/>
      <c r="F682" s="4"/>
    </row>
    <row r="683" spans="5:6" ht="13.8" x14ac:dyDescent="0.3">
      <c r="E683" s="4"/>
      <c r="F683" s="4"/>
    </row>
    <row r="684" spans="5:6" ht="13.8" x14ac:dyDescent="0.3">
      <c r="E684" s="4"/>
      <c r="F684" s="4"/>
    </row>
    <row r="685" spans="5:6" ht="13.8" x14ac:dyDescent="0.3">
      <c r="E685" s="4"/>
      <c r="F685" s="4"/>
    </row>
    <row r="686" spans="5:6" ht="13.8" x14ac:dyDescent="0.3">
      <c r="E686" s="4"/>
      <c r="F686" s="4"/>
    </row>
    <row r="687" spans="5:6" ht="13.8" x14ac:dyDescent="0.3">
      <c r="E687" s="4"/>
      <c r="F687" s="4"/>
    </row>
    <row r="688" spans="5:6" ht="13.8" x14ac:dyDescent="0.3">
      <c r="E688" s="4"/>
      <c r="F688" s="4"/>
    </row>
    <row r="689" spans="5:6" ht="13.8" x14ac:dyDescent="0.3">
      <c r="E689" s="4"/>
      <c r="F689" s="4"/>
    </row>
    <row r="690" spans="5:6" ht="13.8" x14ac:dyDescent="0.3">
      <c r="E690" s="4"/>
      <c r="F690" s="4"/>
    </row>
    <row r="691" spans="5:6" ht="13.8" x14ac:dyDescent="0.3">
      <c r="E691" s="4"/>
      <c r="F691" s="4"/>
    </row>
    <row r="692" spans="5:6" ht="13.8" x14ac:dyDescent="0.3">
      <c r="E692" s="4"/>
      <c r="F692" s="4"/>
    </row>
    <row r="693" spans="5:6" ht="13.8" x14ac:dyDescent="0.3">
      <c r="E693" s="4"/>
      <c r="F693" s="4"/>
    </row>
    <row r="694" spans="5:6" ht="13.8" x14ac:dyDescent="0.3">
      <c r="E694" s="4"/>
      <c r="F694" s="4"/>
    </row>
    <row r="695" spans="5:6" ht="13.8" x14ac:dyDescent="0.3">
      <c r="E695" s="4"/>
      <c r="F695" s="4"/>
    </row>
    <row r="696" spans="5:6" ht="13.8" x14ac:dyDescent="0.3">
      <c r="E696" s="4"/>
      <c r="F696" s="4"/>
    </row>
    <row r="697" spans="5:6" ht="13.8" x14ac:dyDescent="0.3">
      <c r="E697" s="4"/>
      <c r="F697" s="4"/>
    </row>
    <row r="698" spans="5:6" ht="13.8" x14ac:dyDescent="0.3">
      <c r="E698" s="4"/>
      <c r="F698" s="4"/>
    </row>
    <row r="699" spans="5:6" ht="13.8" x14ac:dyDescent="0.3">
      <c r="E699" s="4"/>
      <c r="F699" s="4"/>
    </row>
    <row r="700" spans="5:6" ht="13.8" x14ac:dyDescent="0.3">
      <c r="E700" s="4"/>
      <c r="F700" s="4"/>
    </row>
    <row r="701" spans="5:6" ht="13.8" x14ac:dyDescent="0.3">
      <c r="E701" s="4"/>
      <c r="F701" s="4"/>
    </row>
    <row r="702" spans="5:6" ht="13.8" x14ac:dyDescent="0.3">
      <c r="E702" s="4"/>
      <c r="F702" s="4"/>
    </row>
    <row r="703" spans="5:6" ht="13.8" x14ac:dyDescent="0.3">
      <c r="E703" s="4"/>
      <c r="F703" s="4"/>
    </row>
    <row r="704" spans="5:6" ht="13.8" x14ac:dyDescent="0.3">
      <c r="E704" s="4"/>
      <c r="F704" s="4"/>
    </row>
    <row r="705" spans="5:6" ht="13.8" x14ac:dyDescent="0.3">
      <c r="E705" s="4"/>
      <c r="F705" s="4"/>
    </row>
    <row r="706" spans="5:6" ht="13.8" x14ac:dyDescent="0.3">
      <c r="E706" s="4"/>
      <c r="F706" s="4"/>
    </row>
    <row r="707" spans="5:6" ht="13.8" x14ac:dyDescent="0.3">
      <c r="E707" s="4"/>
      <c r="F707" s="4"/>
    </row>
    <row r="708" spans="5:6" ht="13.8" x14ac:dyDescent="0.3">
      <c r="E708" s="4"/>
      <c r="F708" s="4"/>
    </row>
    <row r="709" spans="5:6" ht="13.8" x14ac:dyDescent="0.3">
      <c r="E709" s="4"/>
      <c r="F709" s="4"/>
    </row>
    <row r="710" spans="5:6" ht="13.8" x14ac:dyDescent="0.3">
      <c r="E710" s="4"/>
      <c r="F710" s="4"/>
    </row>
    <row r="711" spans="5:6" ht="13.8" x14ac:dyDescent="0.3">
      <c r="E711" s="4"/>
      <c r="F711" s="4"/>
    </row>
    <row r="712" spans="5:6" ht="13.8" x14ac:dyDescent="0.3">
      <c r="E712" s="4"/>
      <c r="F712" s="4"/>
    </row>
    <row r="713" spans="5:6" ht="13.8" x14ac:dyDescent="0.3">
      <c r="E713" s="4"/>
      <c r="F713" s="4"/>
    </row>
    <row r="714" spans="5:6" ht="13.8" x14ac:dyDescent="0.3">
      <c r="E714" s="4"/>
      <c r="F714" s="4"/>
    </row>
    <row r="715" spans="5:6" ht="13.8" x14ac:dyDescent="0.3">
      <c r="E715" s="4"/>
      <c r="F715" s="4"/>
    </row>
    <row r="716" spans="5:6" ht="13.8" x14ac:dyDescent="0.3">
      <c r="E716" s="4"/>
      <c r="F716" s="4"/>
    </row>
    <row r="717" spans="5:6" ht="13.8" x14ac:dyDescent="0.3">
      <c r="E717" s="4"/>
      <c r="F717" s="4"/>
    </row>
    <row r="718" spans="5:6" ht="13.8" x14ac:dyDescent="0.3">
      <c r="E718" s="4"/>
      <c r="F718" s="4"/>
    </row>
    <row r="719" spans="5:6" ht="13.8" x14ac:dyDescent="0.3">
      <c r="E719" s="4"/>
      <c r="F719" s="4"/>
    </row>
    <row r="720" spans="5:6" ht="13.8" x14ac:dyDescent="0.3">
      <c r="E720" s="4"/>
      <c r="F720" s="4"/>
    </row>
    <row r="721" spans="5:6" ht="13.8" x14ac:dyDescent="0.3">
      <c r="E721" s="4"/>
      <c r="F721" s="4"/>
    </row>
    <row r="722" spans="5:6" ht="13.8" x14ac:dyDescent="0.3">
      <c r="E722" s="4"/>
      <c r="F722" s="4"/>
    </row>
    <row r="723" spans="5:6" ht="13.8" x14ac:dyDescent="0.3">
      <c r="E723" s="4"/>
      <c r="F723" s="4"/>
    </row>
    <row r="724" spans="5:6" ht="13.8" x14ac:dyDescent="0.3">
      <c r="E724" s="4"/>
      <c r="F724" s="4"/>
    </row>
    <row r="725" spans="5:6" ht="13.8" x14ac:dyDescent="0.3">
      <c r="E725" s="4"/>
      <c r="F725" s="4"/>
    </row>
    <row r="726" spans="5:6" ht="13.8" x14ac:dyDescent="0.3">
      <c r="E726" s="4"/>
      <c r="F726" s="4"/>
    </row>
    <row r="727" spans="5:6" ht="13.8" x14ac:dyDescent="0.3">
      <c r="E727" s="4"/>
      <c r="F727" s="4"/>
    </row>
    <row r="728" spans="5:6" ht="13.8" x14ac:dyDescent="0.3">
      <c r="E728" s="4"/>
      <c r="F728" s="4"/>
    </row>
    <row r="729" spans="5:6" ht="13.8" x14ac:dyDescent="0.3">
      <c r="E729" s="4"/>
      <c r="F729" s="4"/>
    </row>
    <row r="730" spans="5:6" ht="13.8" x14ac:dyDescent="0.3">
      <c r="E730" s="4"/>
      <c r="F730" s="4"/>
    </row>
    <row r="731" spans="5:6" ht="13.8" x14ac:dyDescent="0.3">
      <c r="E731" s="4"/>
      <c r="F731" s="4"/>
    </row>
    <row r="732" spans="5:6" ht="13.8" x14ac:dyDescent="0.3">
      <c r="E732" s="4"/>
      <c r="F732" s="4"/>
    </row>
    <row r="733" spans="5:6" ht="13.8" x14ac:dyDescent="0.3">
      <c r="E733" s="4"/>
      <c r="F733" s="4"/>
    </row>
    <row r="734" spans="5:6" ht="13.8" x14ac:dyDescent="0.3">
      <c r="E734" s="4"/>
      <c r="F734" s="4"/>
    </row>
    <row r="735" spans="5:6" ht="13.8" x14ac:dyDescent="0.3">
      <c r="E735" s="4"/>
      <c r="F735" s="4"/>
    </row>
    <row r="736" spans="5:6" ht="13.8" x14ac:dyDescent="0.3">
      <c r="E736" s="4"/>
      <c r="F736" s="4"/>
    </row>
    <row r="737" spans="5:6" ht="13.8" x14ac:dyDescent="0.3">
      <c r="E737" s="4"/>
      <c r="F737" s="4"/>
    </row>
    <row r="738" spans="5:6" ht="13.8" x14ac:dyDescent="0.3">
      <c r="E738" s="4"/>
      <c r="F738" s="4"/>
    </row>
    <row r="739" spans="5:6" ht="13.8" x14ac:dyDescent="0.3">
      <c r="E739" s="4"/>
      <c r="F739" s="4"/>
    </row>
    <row r="740" spans="5:6" ht="13.8" x14ac:dyDescent="0.3">
      <c r="E740" s="4"/>
      <c r="F740" s="4"/>
    </row>
    <row r="741" spans="5:6" ht="13.8" x14ac:dyDescent="0.3">
      <c r="E741" s="4"/>
      <c r="F741" s="4"/>
    </row>
    <row r="742" spans="5:6" ht="13.8" x14ac:dyDescent="0.3">
      <c r="E742" s="4"/>
      <c r="F742" s="4"/>
    </row>
    <row r="743" spans="5:6" ht="13.8" x14ac:dyDescent="0.3">
      <c r="E743" s="4"/>
      <c r="F743" s="4"/>
    </row>
    <row r="744" spans="5:6" ht="13.8" x14ac:dyDescent="0.3">
      <c r="E744" s="4"/>
      <c r="F744" s="4"/>
    </row>
    <row r="745" spans="5:6" ht="13.8" x14ac:dyDescent="0.3">
      <c r="E745" s="4"/>
      <c r="F745" s="4"/>
    </row>
    <row r="746" spans="5:6" ht="13.8" x14ac:dyDescent="0.3">
      <c r="E746" s="4"/>
      <c r="F746" s="4"/>
    </row>
    <row r="747" spans="5:6" ht="13.8" x14ac:dyDescent="0.3">
      <c r="E747" s="4"/>
      <c r="F747" s="4"/>
    </row>
    <row r="748" spans="5:6" ht="13.8" x14ac:dyDescent="0.3">
      <c r="E748" s="4"/>
      <c r="F748" s="4"/>
    </row>
    <row r="749" spans="5:6" ht="13.8" x14ac:dyDescent="0.3">
      <c r="E749" s="4"/>
      <c r="F749" s="4"/>
    </row>
    <row r="750" spans="5:6" ht="13.8" x14ac:dyDescent="0.3">
      <c r="E750" s="4"/>
      <c r="F750" s="4"/>
    </row>
    <row r="751" spans="5:6" ht="13.8" x14ac:dyDescent="0.3">
      <c r="E751" s="4"/>
      <c r="F751" s="4"/>
    </row>
    <row r="752" spans="5:6" ht="13.8" x14ac:dyDescent="0.3">
      <c r="E752" s="4"/>
      <c r="F752" s="4"/>
    </row>
    <row r="753" spans="5:6" ht="13.8" x14ac:dyDescent="0.3">
      <c r="E753" s="4"/>
      <c r="F753" s="4"/>
    </row>
    <row r="754" spans="5:6" ht="13.8" x14ac:dyDescent="0.3">
      <c r="E754" s="4"/>
      <c r="F754" s="4"/>
    </row>
    <row r="755" spans="5:6" ht="13.8" x14ac:dyDescent="0.3">
      <c r="E755" s="4"/>
      <c r="F755" s="4"/>
    </row>
    <row r="756" spans="5:6" ht="13.8" x14ac:dyDescent="0.3">
      <c r="E756" s="4"/>
      <c r="F756" s="4"/>
    </row>
    <row r="757" spans="5:6" ht="13.8" x14ac:dyDescent="0.3">
      <c r="E757" s="4"/>
      <c r="F757" s="4"/>
    </row>
    <row r="758" spans="5:6" ht="13.8" x14ac:dyDescent="0.3">
      <c r="E758" s="4"/>
      <c r="F758" s="4"/>
    </row>
    <row r="759" spans="5:6" ht="13.8" x14ac:dyDescent="0.3">
      <c r="E759" s="4"/>
      <c r="F759" s="4"/>
    </row>
    <row r="760" spans="5:6" ht="13.8" x14ac:dyDescent="0.3">
      <c r="E760" s="4"/>
      <c r="F760" s="4"/>
    </row>
    <row r="761" spans="5:6" ht="13.8" x14ac:dyDescent="0.3">
      <c r="E761" s="4"/>
      <c r="F761" s="4"/>
    </row>
    <row r="762" spans="5:6" ht="13.8" x14ac:dyDescent="0.3">
      <c r="E762" s="4"/>
      <c r="F762" s="4"/>
    </row>
    <row r="763" spans="5:6" ht="13.8" x14ac:dyDescent="0.3">
      <c r="E763" s="4"/>
      <c r="F763" s="4"/>
    </row>
    <row r="764" spans="5:6" ht="13.8" x14ac:dyDescent="0.3">
      <c r="E764" s="4"/>
      <c r="F764" s="4"/>
    </row>
    <row r="765" spans="5:6" ht="13.8" x14ac:dyDescent="0.3">
      <c r="E765" s="4"/>
      <c r="F765" s="4"/>
    </row>
    <row r="766" spans="5:6" ht="13.8" x14ac:dyDescent="0.3">
      <c r="E766" s="4"/>
      <c r="F766" s="4"/>
    </row>
    <row r="767" spans="5:6" ht="13.8" x14ac:dyDescent="0.3">
      <c r="E767" s="4"/>
      <c r="F767" s="4"/>
    </row>
    <row r="768" spans="5:6" ht="13.8" x14ac:dyDescent="0.3">
      <c r="E768" s="4"/>
      <c r="F768" s="4"/>
    </row>
    <row r="769" spans="5:6" ht="13.8" x14ac:dyDescent="0.3">
      <c r="E769" s="4"/>
      <c r="F769" s="4"/>
    </row>
    <row r="770" spans="5:6" ht="13.8" x14ac:dyDescent="0.3">
      <c r="E770" s="4"/>
      <c r="F770" s="4"/>
    </row>
    <row r="771" spans="5:6" ht="13.8" x14ac:dyDescent="0.3">
      <c r="E771" s="4"/>
      <c r="F771" s="4"/>
    </row>
    <row r="772" spans="5:6" ht="13.8" x14ac:dyDescent="0.3">
      <c r="E772" s="4"/>
      <c r="F772" s="4"/>
    </row>
    <row r="773" spans="5:6" ht="13.8" x14ac:dyDescent="0.3">
      <c r="E773" s="4"/>
      <c r="F773" s="4"/>
    </row>
    <row r="774" spans="5:6" ht="13.8" x14ac:dyDescent="0.3">
      <c r="E774" s="4"/>
      <c r="F774" s="4"/>
    </row>
    <row r="775" spans="5:6" ht="13.8" x14ac:dyDescent="0.3">
      <c r="E775" s="4"/>
      <c r="F775" s="4"/>
    </row>
    <row r="776" spans="5:6" ht="13.8" x14ac:dyDescent="0.3">
      <c r="E776" s="4"/>
      <c r="F776" s="4"/>
    </row>
    <row r="777" spans="5:6" ht="13.8" x14ac:dyDescent="0.3">
      <c r="E777" s="4"/>
      <c r="F777" s="4"/>
    </row>
    <row r="778" spans="5:6" ht="13.8" x14ac:dyDescent="0.3">
      <c r="E778" s="4"/>
      <c r="F778" s="4"/>
    </row>
    <row r="779" spans="5:6" ht="13.8" x14ac:dyDescent="0.3">
      <c r="E779" s="4"/>
      <c r="F779" s="4"/>
    </row>
    <row r="780" spans="5:6" ht="13.8" x14ac:dyDescent="0.3">
      <c r="E780" s="4"/>
      <c r="F780" s="4"/>
    </row>
    <row r="781" spans="5:6" ht="13.8" x14ac:dyDescent="0.3">
      <c r="E781" s="4"/>
      <c r="F781" s="4"/>
    </row>
    <row r="782" spans="5:6" ht="13.8" x14ac:dyDescent="0.3">
      <c r="E782" s="4"/>
      <c r="F782" s="4"/>
    </row>
    <row r="783" spans="5:6" ht="13.8" x14ac:dyDescent="0.3">
      <c r="E783" s="4"/>
      <c r="F783" s="4"/>
    </row>
    <row r="784" spans="5:6" ht="13.8" x14ac:dyDescent="0.3">
      <c r="E784" s="4"/>
      <c r="F784" s="4"/>
    </row>
    <row r="785" spans="5:6" ht="13.8" x14ac:dyDescent="0.3">
      <c r="E785" s="4"/>
      <c r="F785" s="4"/>
    </row>
    <row r="786" spans="5:6" ht="13.8" x14ac:dyDescent="0.3">
      <c r="E786" s="4"/>
      <c r="F786" s="4"/>
    </row>
    <row r="787" spans="5:6" ht="13.8" x14ac:dyDescent="0.3">
      <c r="E787" s="4"/>
      <c r="F787" s="4"/>
    </row>
    <row r="788" spans="5:6" ht="13.8" x14ac:dyDescent="0.3">
      <c r="E788" s="4"/>
      <c r="F788" s="4"/>
    </row>
    <row r="789" spans="5:6" ht="13.8" x14ac:dyDescent="0.3">
      <c r="E789" s="4"/>
      <c r="F789" s="4"/>
    </row>
    <row r="790" spans="5:6" ht="13.8" x14ac:dyDescent="0.3">
      <c r="E790" s="4"/>
      <c r="F790" s="4"/>
    </row>
    <row r="791" spans="5:6" ht="13.8" x14ac:dyDescent="0.3">
      <c r="E791" s="4"/>
      <c r="F791" s="4"/>
    </row>
    <row r="792" spans="5:6" ht="13.8" x14ac:dyDescent="0.3">
      <c r="E792" s="4"/>
      <c r="F792" s="4"/>
    </row>
    <row r="793" spans="5:6" ht="13.8" x14ac:dyDescent="0.3">
      <c r="E793" s="4"/>
      <c r="F793" s="4"/>
    </row>
    <row r="794" spans="5:6" ht="13.8" x14ac:dyDescent="0.3">
      <c r="E794" s="4"/>
      <c r="F794" s="4"/>
    </row>
    <row r="795" spans="5:6" ht="13.8" x14ac:dyDescent="0.3">
      <c r="E795" s="4"/>
      <c r="F795" s="4"/>
    </row>
    <row r="796" spans="5:6" ht="13.8" x14ac:dyDescent="0.3">
      <c r="E796" s="4"/>
      <c r="F796" s="4"/>
    </row>
    <row r="797" spans="5:6" ht="13.8" x14ac:dyDescent="0.3">
      <c r="E797" s="4"/>
      <c r="F797" s="4"/>
    </row>
    <row r="798" spans="5:6" ht="13.8" x14ac:dyDescent="0.3">
      <c r="E798" s="4"/>
      <c r="F798" s="4"/>
    </row>
    <row r="799" spans="5:6" ht="13.8" x14ac:dyDescent="0.3">
      <c r="E799" s="4"/>
      <c r="F799" s="4"/>
    </row>
    <row r="800" spans="5:6" ht="13.8" x14ac:dyDescent="0.3">
      <c r="E800" s="4"/>
      <c r="F800" s="4"/>
    </row>
    <row r="801" spans="5:6" ht="13.8" x14ac:dyDescent="0.3">
      <c r="E801" s="4"/>
      <c r="F801" s="4"/>
    </row>
    <row r="802" spans="5:6" ht="13.8" x14ac:dyDescent="0.3">
      <c r="E802" s="4"/>
      <c r="F802" s="4"/>
    </row>
    <row r="803" spans="5:6" ht="13.8" x14ac:dyDescent="0.3">
      <c r="E803" s="4"/>
      <c r="F803" s="4"/>
    </row>
    <row r="804" spans="5:6" ht="13.8" x14ac:dyDescent="0.3">
      <c r="E804" s="4"/>
      <c r="F804" s="4"/>
    </row>
    <row r="805" spans="5:6" ht="13.8" x14ac:dyDescent="0.3">
      <c r="E805" s="4"/>
      <c r="F805" s="4"/>
    </row>
    <row r="806" spans="5:6" ht="13.8" x14ac:dyDescent="0.3">
      <c r="E806" s="4"/>
      <c r="F806" s="4"/>
    </row>
    <row r="807" spans="5:6" ht="13.8" x14ac:dyDescent="0.3">
      <c r="E807" s="4"/>
      <c r="F807" s="4"/>
    </row>
    <row r="808" spans="5:6" ht="13.8" x14ac:dyDescent="0.3">
      <c r="E808" s="4"/>
      <c r="F808" s="4"/>
    </row>
    <row r="809" spans="5:6" ht="13.8" x14ac:dyDescent="0.3">
      <c r="E809" s="4"/>
      <c r="F809" s="4"/>
    </row>
    <row r="810" spans="5:6" ht="13.8" x14ac:dyDescent="0.3">
      <c r="E810" s="4"/>
      <c r="F810" s="4"/>
    </row>
    <row r="811" spans="5:6" ht="13.8" x14ac:dyDescent="0.3">
      <c r="E811" s="4"/>
      <c r="F811" s="4"/>
    </row>
    <row r="812" spans="5:6" ht="13.8" x14ac:dyDescent="0.3">
      <c r="E812" s="4"/>
      <c r="F812" s="4"/>
    </row>
    <row r="813" spans="5:6" ht="13.8" x14ac:dyDescent="0.3">
      <c r="E813" s="4"/>
      <c r="F813" s="4"/>
    </row>
    <row r="814" spans="5:6" ht="13.8" x14ac:dyDescent="0.3">
      <c r="E814" s="4"/>
      <c r="F814" s="4"/>
    </row>
    <row r="815" spans="5:6" ht="13.8" x14ac:dyDescent="0.3">
      <c r="E815" s="4"/>
      <c r="F815" s="4"/>
    </row>
    <row r="816" spans="5:6" ht="13.8" x14ac:dyDescent="0.3">
      <c r="E816" s="4"/>
      <c r="F816" s="4"/>
    </row>
    <row r="817" spans="5:6" ht="13.8" x14ac:dyDescent="0.3">
      <c r="E817" s="4"/>
      <c r="F817" s="4"/>
    </row>
    <row r="818" spans="5:6" ht="13.8" x14ac:dyDescent="0.3">
      <c r="E818" s="4"/>
      <c r="F818" s="4"/>
    </row>
    <row r="819" spans="5:6" ht="13.8" x14ac:dyDescent="0.3">
      <c r="E819" s="4"/>
      <c r="F819" s="4"/>
    </row>
    <row r="820" spans="5:6" ht="13.8" x14ac:dyDescent="0.3">
      <c r="E820" s="4"/>
      <c r="F820" s="4"/>
    </row>
    <row r="821" spans="5:6" ht="13.8" x14ac:dyDescent="0.3">
      <c r="E821" s="4"/>
      <c r="F821" s="4"/>
    </row>
    <row r="822" spans="5:6" ht="13.8" x14ac:dyDescent="0.3">
      <c r="E822" s="4"/>
      <c r="F822" s="4"/>
    </row>
    <row r="823" spans="5:6" ht="13.8" x14ac:dyDescent="0.3">
      <c r="E823" s="4"/>
      <c r="F823" s="4"/>
    </row>
    <row r="824" spans="5:6" ht="13.8" x14ac:dyDescent="0.3">
      <c r="E824" s="4"/>
      <c r="F824" s="4"/>
    </row>
    <row r="825" spans="5:6" ht="13.8" x14ac:dyDescent="0.3">
      <c r="E825" s="4"/>
      <c r="F825" s="4"/>
    </row>
    <row r="826" spans="5:6" ht="13.8" x14ac:dyDescent="0.3">
      <c r="E826" s="4"/>
      <c r="F826" s="4"/>
    </row>
    <row r="827" spans="5:6" ht="13.8" x14ac:dyDescent="0.3">
      <c r="E827" s="4"/>
      <c r="F827" s="4"/>
    </row>
    <row r="828" spans="5:6" ht="13.8" x14ac:dyDescent="0.3">
      <c r="E828" s="4"/>
      <c r="F828" s="4"/>
    </row>
    <row r="829" spans="5:6" ht="13.8" x14ac:dyDescent="0.3">
      <c r="E829" s="4"/>
      <c r="F829" s="4"/>
    </row>
    <row r="830" spans="5:6" ht="13.8" x14ac:dyDescent="0.3">
      <c r="E830" s="4"/>
      <c r="F830" s="4"/>
    </row>
    <row r="831" spans="5:6" ht="13.8" x14ac:dyDescent="0.3">
      <c r="E831" s="4"/>
      <c r="F831" s="4"/>
    </row>
    <row r="832" spans="5:6" ht="13.8" x14ac:dyDescent="0.3">
      <c r="E832" s="4"/>
      <c r="F832" s="4"/>
    </row>
    <row r="833" spans="5:6" ht="13.8" x14ac:dyDescent="0.3">
      <c r="E833" s="4"/>
      <c r="F833" s="4"/>
    </row>
    <row r="834" spans="5:6" ht="13.8" x14ac:dyDescent="0.3">
      <c r="E834" s="4"/>
      <c r="F834" s="4"/>
    </row>
    <row r="835" spans="5:6" ht="13.8" x14ac:dyDescent="0.3">
      <c r="E835" s="4"/>
      <c r="F835" s="4"/>
    </row>
    <row r="836" spans="5:6" ht="13.8" x14ac:dyDescent="0.3">
      <c r="E836" s="4"/>
      <c r="F836" s="4"/>
    </row>
    <row r="837" spans="5:6" ht="13.8" x14ac:dyDescent="0.3">
      <c r="E837" s="4"/>
      <c r="F837" s="4"/>
    </row>
    <row r="838" spans="5:6" ht="13.8" x14ac:dyDescent="0.3">
      <c r="E838" s="4"/>
      <c r="F838" s="4"/>
    </row>
    <row r="839" spans="5:6" ht="13.8" x14ac:dyDescent="0.3">
      <c r="E839" s="4"/>
      <c r="F839" s="4"/>
    </row>
    <row r="840" spans="5:6" ht="13.8" x14ac:dyDescent="0.3">
      <c r="E840" s="4"/>
      <c r="F840" s="4"/>
    </row>
    <row r="841" spans="5:6" ht="13.8" x14ac:dyDescent="0.3">
      <c r="E841" s="4"/>
      <c r="F841" s="4"/>
    </row>
    <row r="842" spans="5:6" ht="13.8" x14ac:dyDescent="0.3">
      <c r="E842" s="4"/>
      <c r="F842" s="4"/>
    </row>
    <row r="843" spans="5:6" ht="13.8" x14ac:dyDescent="0.3">
      <c r="E843" s="4"/>
      <c r="F843" s="4"/>
    </row>
    <row r="844" spans="5:6" ht="13.8" x14ac:dyDescent="0.3">
      <c r="E844" s="4"/>
      <c r="F844" s="4"/>
    </row>
    <row r="845" spans="5:6" ht="13.8" x14ac:dyDescent="0.3">
      <c r="E845" s="4"/>
      <c r="F845" s="4"/>
    </row>
    <row r="846" spans="5:6" ht="13.8" x14ac:dyDescent="0.3">
      <c r="E846" s="4"/>
      <c r="F846" s="4"/>
    </row>
    <row r="847" spans="5:6" ht="13.8" x14ac:dyDescent="0.3">
      <c r="E847" s="4"/>
      <c r="F847" s="4"/>
    </row>
    <row r="848" spans="5:6" ht="13.8" x14ac:dyDescent="0.3">
      <c r="E848" s="4"/>
      <c r="F848" s="4"/>
    </row>
    <row r="849" spans="5:6" ht="13.8" x14ac:dyDescent="0.3">
      <c r="E849" s="4"/>
      <c r="F849" s="4"/>
    </row>
    <row r="850" spans="5:6" ht="13.8" x14ac:dyDescent="0.3">
      <c r="E850" s="4"/>
      <c r="F850" s="4"/>
    </row>
    <row r="851" spans="5:6" ht="13.8" x14ac:dyDescent="0.3">
      <c r="E851" s="4"/>
      <c r="F851" s="4"/>
    </row>
    <row r="852" spans="5:6" ht="13.8" x14ac:dyDescent="0.3">
      <c r="E852" s="4"/>
      <c r="F852" s="4"/>
    </row>
    <row r="853" spans="5:6" ht="13.8" x14ac:dyDescent="0.3">
      <c r="E853" s="4"/>
      <c r="F853" s="4"/>
    </row>
    <row r="854" spans="5:6" ht="13.8" x14ac:dyDescent="0.3">
      <c r="E854" s="4"/>
      <c r="F854" s="4"/>
    </row>
    <row r="855" spans="5:6" ht="13.8" x14ac:dyDescent="0.3">
      <c r="E855" s="4"/>
      <c r="F855" s="4"/>
    </row>
    <row r="856" spans="5:6" ht="13.8" x14ac:dyDescent="0.3">
      <c r="E856" s="4"/>
      <c r="F856" s="4"/>
    </row>
    <row r="857" spans="5:6" ht="13.8" x14ac:dyDescent="0.3">
      <c r="E857" s="4"/>
      <c r="F857" s="4"/>
    </row>
    <row r="858" spans="5:6" ht="13.8" x14ac:dyDescent="0.3">
      <c r="E858" s="4"/>
      <c r="F858" s="4"/>
    </row>
    <row r="859" spans="5:6" ht="13.8" x14ac:dyDescent="0.3">
      <c r="E859" s="4"/>
      <c r="F859" s="4"/>
    </row>
    <row r="860" spans="5:6" ht="13.8" x14ac:dyDescent="0.3">
      <c r="E860" s="4"/>
      <c r="F860" s="4"/>
    </row>
    <row r="861" spans="5:6" ht="13.8" x14ac:dyDescent="0.3">
      <c r="E861" s="4"/>
      <c r="F861" s="4"/>
    </row>
    <row r="862" spans="5:6" ht="13.8" x14ac:dyDescent="0.3">
      <c r="E862" s="4"/>
      <c r="F862" s="4"/>
    </row>
    <row r="863" spans="5:6" ht="13.8" x14ac:dyDescent="0.3">
      <c r="E863" s="4"/>
      <c r="F863" s="4"/>
    </row>
    <row r="864" spans="5:6" ht="13.8" x14ac:dyDescent="0.3">
      <c r="E864" s="4"/>
      <c r="F864" s="4"/>
    </row>
    <row r="865" spans="5:6" ht="13.8" x14ac:dyDescent="0.3">
      <c r="E865" s="4"/>
      <c r="F865" s="4"/>
    </row>
    <row r="866" spans="5:6" ht="13.8" x14ac:dyDescent="0.3">
      <c r="E866" s="4"/>
      <c r="F866" s="4"/>
    </row>
    <row r="867" spans="5:6" ht="13.8" x14ac:dyDescent="0.3">
      <c r="E867" s="4"/>
      <c r="F867" s="4"/>
    </row>
    <row r="868" spans="5:6" ht="13.8" x14ac:dyDescent="0.3">
      <c r="E868" s="4"/>
      <c r="F868" s="4"/>
    </row>
    <row r="869" spans="5:6" ht="13.8" x14ac:dyDescent="0.3">
      <c r="E869" s="4"/>
      <c r="F869" s="4"/>
    </row>
    <row r="870" spans="5:6" ht="13.8" x14ac:dyDescent="0.3">
      <c r="E870" s="4"/>
      <c r="F870" s="4"/>
    </row>
    <row r="871" spans="5:6" ht="13.8" x14ac:dyDescent="0.3">
      <c r="E871" s="4"/>
      <c r="F871" s="4"/>
    </row>
    <row r="872" spans="5:6" ht="13.8" x14ac:dyDescent="0.3">
      <c r="E872" s="4"/>
      <c r="F872" s="4"/>
    </row>
    <row r="873" spans="5:6" ht="13.8" x14ac:dyDescent="0.3">
      <c r="E873" s="4"/>
      <c r="F873" s="4"/>
    </row>
    <row r="874" spans="5:6" ht="13.8" x14ac:dyDescent="0.3">
      <c r="E874" s="4"/>
      <c r="F874" s="4"/>
    </row>
    <row r="875" spans="5:6" ht="13.8" x14ac:dyDescent="0.3">
      <c r="E875" s="4"/>
      <c r="F875" s="4"/>
    </row>
    <row r="876" spans="5:6" ht="13.8" x14ac:dyDescent="0.3">
      <c r="E876" s="4"/>
      <c r="F876" s="4"/>
    </row>
    <row r="877" spans="5:6" ht="13.8" x14ac:dyDescent="0.3">
      <c r="E877" s="4"/>
      <c r="F877" s="4"/>
    </row>
    <row r="878" spans="5:6" ht="13.8" x14ac:dyDescent="0.3">
      <c r="E878" s="4"/>
      <c r="F878" s="4"/>
    </row>
    <row r="879" spans="5:6" ht="13.8" x14ac:dyDescent="0.3">
      <c r="E879" s="4"/>
      <c r="F879" s="4"/>
    </row>
    <row r="880" spans="5:6" ht="13.8" x14ac:dyDescent="0.3">
      <c r="E880" s="4"/>
      <c r="F880" s="4"/>
    </row>
    <row r="881" spans="5:6" ht="13.8" x14ac:dyDescent="0.3">
      <c r="E881" s="4"/>
      <c r="F881" s="4"/>
    </row>
    <row r="882" spans="5:6" ht="13.8" x14ac:dyDescent="0.3">
      <c r="E882" s="4"/>
      <c r="F882" s="4"/>
    </row>
    <row r="883" spans="5:6" ht="13.8" x14ac:dyDescent="0.3">
      <c r="E883" s="4"/>
      <c r="F883" s="4"/>
    </row>
    <row r="884" spans="5:6" ht="13.8" x14ac:dyDescent="0.3">
      <c r="E884" s="4"/>
      <c r="F884" s="4"/>
    </row>
    <row r="885" spans="5:6" ht="13.8" x14ac:dyDescent="0.3">
      <c r="E885" s="4"/>
      <c r="F885" s="4"/>
    </row>
    <row r="886" spans="5:6" ht="13.8" x14ac:dyDescent="0.3">
      <c r="E886" s="4"/>
      <c r="F886" s="4"/>
    </row>
    <row r="887" spans="5:6" ht="13.8" x14ac:dyDescent="0.3">
      <c r="E887" s="4"/>
      <c r="F887" s="4"/>
    </row>
    <row r="888" spans="5:6" ht="13.8" x14ac:dyDescent="0.3">
      <c r="E888" s="4"/>
      <c r="F888" s="4"/>
    </row>
    <row r="889" spans="5:6" ht="13.8" x14ac:dyDescent="0.3">
      <c r="E889" s="4"/>
      <c r="F889" s="4"/>
    </row>
    <row r="890" spans="5:6" ht="13.8" x14ac:dyDescent="0.3">
      <c r="E890" s="4"/>
      <c r="F890" s="4"/>
    </row>
    <row r="891" spans="5:6" ht="13.8" x14ac:dyDescent="0.3">
      <c r="E891" s="4"/>
      <c r="F891" s="4"/>
    </row>
    <row r="892" spans="5:6" ht="13.8" x14ac:dyDescent="0.3">
      <c r="E892" s="4"/>
      <c r="F892" s="4"/>
    </row>
    <row r="893" spans="5:6" ht="13.8" x14ac:dyDescent="0.3">
      <c r="E893" s="4"/>
      <c r="F893" s="4"/>
    </row>
    <row r="894" spans="5:6" ht="13.8" x14ac:dyDescent="0.3">
      <c r="E894" s="4"/>
      <c r="F894" s="4"/>
    </row>
    <row r="895" spans="5:6" ht="13.8" x14ac:dyDescent="0.3">
      <c r="E895" s="4"/>
      <c r="F895" s="4"/>
    </row>
    <row r="896" spans="5:6" ht="13.8" x14ac:dyDescent="0.3">
      <c r="E896" s="4"/>
      <c r="F896" s="4"/>
    </row>
    <row r="897" spans="5:6" ht="13.8" x14ac:dyDescent="0.3">
      <c r="E897" s="4"/>
      <c r="F897" s="4"/>
    </row>
    <row r="898" spans="5:6" ht="13.8" x14ac:dyDescent="0.3">
      <c r="E898" s="4"/>
      <c r="F898" s="4"/>
    </row>
    <row r="899" spans="5:6" ht="13.8" x14ac:dyDescent="0.3">
      <c r="E899" s="4"/>
      <c r="F899" s="4"/>
    </row>
    <row r="900" spans="5:6" ht="13.8" x14ac:dyDescent="0.3">
      <c r="E900" s="4"/>
      <c r="F900" s="4"/>
    </row>
    <row r="901" spans="5:6" ht="13.8" x14ac:dyDescent="0.3">
      <c r="E901" s="4"/>
      <c r="F901" s="4"/>
    </row>
    <row r="902" spans="5:6" ht="13.8" x14ac:dyDescent="0.3">
      <c r="E902" s="4"/>
      <c r="F902" s="4"/>
    </row>
    <row r="903" spans="5:6" ht="13.8" x14ac:dyDescent="0.3">
      <c r="E903" s="4"/>
      <c r="F903" s="4"/>
    </row>
    <row r="904" spans="5:6" ht="13.8" x14ac:dyDescent="0.3">
      <c r="E904" s="4"/>
      <c r="F904" s="4"/>
    </row>
    <row r="905" spans="5:6" ht="13.8" x14ac:dyDescent="0.3">
      <c r="E905" s="4"/>
      <c r="F905" s="4"/>
    </row>
    <row r="906" spans="5:6" ht="13.8" x14ac:dyDescent="0.3">
      <c r="E906" s="4"/>
      <c r="F906" s="4"/>
    </row>
    <row r="907" spans="5:6" ht="13.8" x14ac:dyDescent="0.3">
      <c r="E907" s="4"/>
      <c r="F907" s="4"/>
    </row>
    <row r="908" spans="5:6" ht="13.8" x14ac:dyDescent="0.3">
      <c r="E908" s="4"/>
      <c r="F908" s="4"/>
    </row>
    <row r="909" spans="5:6" ht="13.8" x14ac:dyDescent="0.3">
      <c r="E909" s="4"/>
      <c r="F909" s="4"/>
    </row>
    <row r="910" spans="5:6" ht="13.8" x14ac:dyDescent="0.3">
      <c r="E910" s="4"/>
      <c r="F910" s="4"/>
    </row>
    <row r="911" spans="5:6" ht="13.8" x14ac:dyDescent="0.3">
      <c r="E911" s="4"/>
      <c r="F911" s="4"/>
    </row>
    <row r="912" spans="5:6" ht="13.8" x14ac:dyDescent="0.3">
      <c r="E912" s="4"/>
      <c r="F912" s="4"/>
    </row>
    <row r="913" spans="5:6" ht="13.8" x14ac:dyDescent="0.3">
      <c r="E913" s="4"/>
      <c r="F913" s="4"/>
    </row>
    <row r="914" spans="5:6" ht="13.8" x14ac:dyDescent="0.3">
      <c r="E914" s="4"/>
      <c r="F914" s="4"/>
    </row>
    <row r="915" spans="5:6" ht="13.8" x14ac:dyDescent="0.3">
      <c r="E915" s="4"/>
      <c r="F915" s="4"/>
    </row>
    <row r="916" spans="5:6" ht="13.8" x14ac:dyDescent="0.3">
      <c r="E916" s="4"/>
      <c r="F916" s="4"/>
    </row>
    <row r="917" spans="5:6" ht="13.8" x14ac:dyDescent="0.3">
      <c r="E917" s="4"/>
      <c r="F917" s="4"/>
    </row>
    <row r="918" spans="5:6" ht="13.8" x14ac:dyDescent="0.3">
      <c r="E918" s="4"/>
      <c r="F918" s="4"/>
    </row>
    <row r="919" spans="5:6" ht="13.8" x14ac:dyDescent="0.3">
      <c r="E919" s="4"/>
      <c r="F919" s="4"/>
    </row>
    <row r="920" spans="5:6" ht="13.8" x14ac:dyDescent="0.3">
      <c r="E920" s="4"/>
      <c r="F920" s="4"/>
    </row>
    <row r="921" spans="5:6" ht="13.8" x14ac:dyDescent="0.3">
      <c r="E921" s="4"/>
      <c r="F921" s="4"/>
    </row>
    <row r="922" spans="5:6" ht="13.8" x14ac:dyDescent="0.3">
      <c r="E922" s="4"/>
      <c r="F922" s="4"/>
    </row>
    <row r="923" spans="5:6" ht="13.8" x14ac:dyDescent="0.3">
      <c r="E923" s="4"/>
      <c r="F923" s="4"/>
    </row>
    <row r="924" spans="5:6" ht="13.8" x14ac:dyDescent="0.3">
      <c r="E924" s="4"/>
      <c r="F924" s="4"/>
    </row>
    <row r="925" spans="5:6" ht="13.8" x14ac:dyDescent="0.3">
      <c r="E925" s="4"/>
      <c r="F925" s="4"/>
    </row>
    <row r="926" spans="5:6" ht="13.8" x14ac:dyDescent="0.3">
      <c r="E926" s="4"/>
      <c r="F926" s="4"/>
    </row>
    <row r="927" spans="5:6" ht="13.8" x14ac:dyDescent="0.3">
      <c r="E927" s="4"/>
      <c r="F927" s="4"/>
    </row>
    <row r="928" spans="5:6" ht="13.8" x14ac:dyDescent="0.3">
      <c r="E928" s="4"/>
      <c r="F928" s="4"/>
    </row>
    <row r="929" spans="5:6" ht="13.8" x14ac:dyDescent="0.3">
      <c r="E929" s="4"/>
      <c r="F929" s="4"/>
    </row>
    <row r="930" spans="5:6" ht="13.8" x14ac:dyDescent="0.3">
      <c r="E930" s="4"/>
      <c r="F930" s="4"/>
    </row>
    <row r="931" spans="5:6" ht="13.8" x14ac:dyDescent="0.3">
      <c r="E931" s="4"/>
      <c r="F931" s="4"/>
    </row>
    <row r="932" spans="5:6" ht="13.8" x14ac:dyDescent="0.3">
      <c r="E932" s="4"/>
      <c r="F932" s="4"/>
    </row>
    <row r="933" spans="5:6" ht="13.8" x14ac:dyDescent="0.3">
      <c r="E933" s="4"/>
      <c r="F933" s="4"/>
    </row>
    <row r="934" spans="5:6" ht="13.8" x14ac:dyDescent="0.3">
      <c r="E934" s="4"/>
      <c r="F934" s="4"/>
    </row>
    <row r="935" spans="5:6" ht="13.8" x14ac:dyDescent="0.3">
      <c r="E935" s="4"/>
      <c r="F935" s="4"/>
    </row>
    <row r="936" spans="5:6" ht="13.8" x14ac:dyDescent="0.3">
      <c r="E936" s="4"/>
      <c r="F936" s="4"/>
    </row>
    <row r="937" spans="5:6" ht="13.8" x14ac:dyDescent="0.3">
      <c r="E937" s="4"/>
      <c r="F937" s="4"/>
    </row>
    <row r="938" spans="5:6" ht="13.8" x14ac:dyDescent="0.3">
      <c r="E938" s="4"/>
      <c r="F938" s="4"/>
    </row>
    <row r="939" spans="5:6" ht="13.8" x14ac:dyDescent="0.3">
      <c r="E939" s="4"/>
      <c r="F939" s="4"/>
    </row>
    <row r="940" spans="5:6" ht="13.8" x14ac:dyDescent="0.3">
      <c r="E940" s="4"/>
      <c r="F940" s="4"/>
    </row>
    <row r="941" spans="5:6" ht="13.8" x14ac:dyDescent="0.3">
      <c r="E941" s="4"/>
      <c r="F941" s="4"/>
    </row>
    <row r="942" spans="5:6" ht="13.8" x14ac:dyDescent="0.3">
      <c r="E942" s="4"/>
      <c r="F942" s="4"/>
    </row>
    <row r="943" spans="5:6" ht="13.8" x14ac:dyDescent="0.3">
      <c r="E943" s="4"/>
      <c r="F943" s="4"/>
    </row>
    <row r="944" spans="5:6" ht="13.8" x14ac:dyDescent="0.3">
      <c r="E944" s="4"/>
      <c r="F944" s="4"/>
    </row>
    <row r="945" spans="5:6" ht="13.8" x14ac:dyDescent="0.3">
      <c r="E945" s="4"/>
      <c r="F945" s="4"/>
    </row>
    <row r="946" spans="5:6" ht="13.8" x14ac:dyDescent="0.3">
      <c r="E946" s="4"/>
      <c r="F946" s="4"/>
    </row>
    <row r="947" spans="5:6" ht="13.8" x14ac:dyDescent="0.3">
      <c r="E947" s="4"/>
      <c r="F947" s="4"/>
    </row>
    <row r="948" spans="5:6" ht="13.8" x14ac:dyDescent="0.3">
      <c r="E948" s="4"/>
      <c r="F948" s="4"/>
    </row>
    <row r="949" spans="5:6" ht="13.8" x14ac:dyDescent="0.3">
      <c r="E949" s="4"/>
      <c r="F949" s="4"/>
    </row>
    <row r="950" spans="5:6" ht="13.8" x14ac:dyDescent="0.3">
      <c r="E950" s="4"/>
      <c r="F950" s="4"/>
    </row>
    <row r="951" spans="5:6" ht="13.8" x14ac:dyDescent="0.3">
      <c r="E951" s="4"/>
      <c r="F951" s="4"/>
    </row>
    <row r="952" spans="5:6" ht="13.8" x14ac:dyDescent="0.3">
      <c r="E952" s="4"/>
      <c r="F952" s="4"/>
    </row>
    <row r="953" spans="5:6" ht="13.8" x14ac:dyDescent="0.3">
      <c r="E953" s="4"/>
      <c r="F953" s="4"/>
    </row>
    <row r="954" spans="5:6" ht="13.8" x14ac:dyDescent="0.3">
      <c r="E954" s="4"/>
      <c r="F954" s="4"/>
    </row>
    <row r="955" spans="5:6" ht="13.8" x14ac:dyDescent="0.3">
      <c r="E955" s="4"/>
      <c r="F955" s="4"/>
    </row>
    <row r="956" spans="5:6" ht="13.8" x14ac:dyDescent="0.3">
      <c r="E956" s="4"/>
      <c r="F956" s="4"/>
    </row>
    <row r="957" spans="5:6" ht="13.8" x14ac:dyDescent="0.3">
      <c r="E957" s="4"/>
      <c r="F957" s="4"/>
    </row>
    <row r="958" spans="5:6" ht="13.8" x14ac:dyDescent="0.3">
      <c r="E958" s="4"/>
      <c r="F958" s="4"/>
    </row>
    <row r="959" spans="5:6" ht="13.8" x14ac:dyDescent="0.3">
      <c r="E959" s="4"/>
      <c r="F959" s="4"/>
    </row>
    <row r="960" spans="5:6" ht="13.8" x14ac:dyDescent="0.3">
      <c r="E960" s="4"/>
      <c r="F960" s="4"/>
    </row>
    <row r="961" spans="5:6" ht="13.8" x14ac:dyDescent="0.3">
      <c r="E961" s="4"/>
      <c r="F961" s="4"/>
    </row>
    <row r="962" spans="5:6" ht="13.8" x14ac:dyDescent="0.3">
      <c r="E962" s="4"/>
      <c r="F962" s="4"/>
    </row>
    <row r="963" spans="5:6" ht="13.8" x14ac:dyDescent="0.3">
      <c r="E963" s="4"/>
      <c r="F963" s="4"/>
    </row>
    <row r="964" spans="5:6" ht="13.8" x14ac:dyDescent="0.3">
      <c r="E964" s="4"/>
      <c r="F964" s="4"/>
    </row>
    <row r="965" spans="5:6" ht="13.8" x14ac:dyDescent="0.3">
      <c r="E965" s="4"/>
      <c r="F965" s="4"/>
    </row>
    <row r="966" spans="5:6" ht="13.8" x14ac:dyDescent="0.3">
      <c r="E966" s="4"/>
      <c r="F966" s="4"/>
    </row>
    <row r="967" spans="5:6" ht="13.8" x14ac:dyDescent="0.3">
      <c r="E967" s="4"/>
      <c r="F967" s="4"/>
    </row>
    <row r="968" spans="5:6" ht="13.8" x14ac:dyDescent="0.3">
      <c r="E968" s="4"/>
      <c r="F968" s="4"/>
    </row>
    <row r="969" spans="5:6" ht="13.8" x14ac:dyDescent="0.3">
      <c r="E969" s="4"/>
      <c r="F969" s="4"/>
    </row>
    <row r="970" spans="5:6" ht="13.8" x14ac:dyDescent="0.3">
      <c r="E970" s="4"/>
      <c r="F970" s="4"/>
    </row>
    <row r="971" spans="5:6" ht="13.8" x14ac:dyDescent="0.3">
      <c r="E971" s="4"/>
      <c r="F971" s="4"/>
    </row>
    <row r="972" spans="5:6" ht="13.8" x14ac:dyDescent="0.3">
      <c r="E972" s="4"/>
      <c r="F972" s="4"/>
    </row>
    <row r="973" spans="5:6" ht="13.8" x14ac:dyDescent="0.3">
      <c r="E973" s="4"/>
      <c r="F973" s="4"/>
    </row>
    <row r="974" spans="5:6" ht="13.8" x14ac:dyDescent="0.3">
      <c r="E974" s="4"/>
      <c r="F974" s="4"/>
    </row>
    <row r="975" spans="5:6" ht="13.8" x14ac:dyDescent="0.3">
      <c r="E975" s="4"/>
      <c r="F975" s="4"/>
    </row>
    <row r="976" spans="5:6" ht="13.8" x14ac:dyDescent="0.3">
      <c r="E976" s="4"/>
      <c r="F976" s="4"/>
    </row>
    <row r="977" spans="5:6" ht="13.8" x14ac:dyDescent="0.3">
      <c r="E977" s="4"/>
      <c r="F977" s="4"/>
    </row>
    <row r="978" spans="5:6" ht="13.8" x14ac:dyDescent="0.3">
      <c r="E978" s="4"/>
      <c r="F978" s="4"/>
    </row>
    <row r="979" spans="5:6" ht="13.8" x14ac:dyDescent="0.3">
      <c r="E979" s="4"/>
      <c r="F979" s="4"/>
    </row>
    <row r="980" spans="5:6" ht="13.8" x14ac:dyDescent="0.3">
      <c r="E980" s="4"/>
      <c r="F980" s="4"/>
    </row>
    <row r="981" spans="5:6" ht="13.8" x14ac:dyDescent="0.3">
      <c r="E981" s="4"/>
      <c r="F981" s="4"/>
    </row>
    <row r="982" spans="5:6" ht="13.8" x14ac:dyDescent="0.3">
      <c r="E982" s="4"/>
      <c r="F982" s="4"/>
    </row>
    <row r="983" spans="5:6" ht="13.8" x14ac:dyDescent="0.3">
      <c r="E983" s="4"/>
      <c r="F983" s="4"/>
    </row>
    <row r="984" spans="5:6" ht="13.8" x14ac:dyDescent="0.3">
      <c r="E984" s="4"/>
      <c r="F984" s="4"/>
    </row>
    <row r="985" spans="5:6" ht="13.8" x14ac:dyDescent="0.3">
      <c r="E985" s="4"/>
      <c r="F985" s="4"/>
    </row>
    <row r="986" spans="5:6" ht="13.8" x14ac:dyDescent="0.3">
      <c r="E986" s="4"/>
      <c r="F986" s="4"/>
    </row>
    <row r="987" spans="5:6" ht="13.8" x14ac:dyDescent="0.3">
      <c r="E987" s="4"/>
      <c r="F987" s="4"/>
    </row>
    <row r="988" spans="5:6" ht="13.8" x14ac:dyDescent="0.3">
      <c r="E988" s="4"/>
      <c r="F988" s="4"/>
    </row>
    <row r="989" spans="5:6" ht="13.8" x14ac:dyDescent="0.3">
      <c r="E989" s="4"/>
      <c r="F989" s="4"/>
    </row>
    <row r="990" spans="5:6" ht="13.8" x14ac:dyDescent="0.3">
      <c r="E990" s="4"/>
      <c r="F990" s="4"/>
    </row>
    <row r="991" spans="5:6" ht="13.8" x14ac:dyDescent="0.3">
      <c r="E991" s="4"/>
      <c r="F991" s="4"/>
    </row>
    <row r="992" spans="5:6" ht="13.8" x14ac:dyDescent="0.3">
      <c r="E992" s="4"/>
      <c r="F992" s="4"/>
    </row>
    <row r="993" spans="5:6" ht="13.8" x14ac:dyDescent="0.3">
      <c r="E993" s="4"/>
      <c r="F993" s="4"/>
    </row>
    <row r="994" spans="5:6" ht="13.8" x14ac:dyDescent="0.3">
      <c r="E994" s="4"/>
      <c r="F994" s="4"/>
    </row>
    <row r="995" spans="5:6" ht="13.8" x14ac:dyDescent="0.3">
      <c r="E995" s="4"/>
      <c r="F995" s="4"/>
    </row>
    <row r="996" spans="5:6" ht="13.8" x14ac:dyDescent="0.3">
      <c r="E996" s="4"/>
      <c r="F996" s="4"/>
    </row>
    <row r="997" spans="5:6" ht="13.8" x14ac:dyDescent="0.3">
      <c r="E997" s="4"/>
      <c r="F997" s="4"/>
    </row>
    <row r="998" spans="5:6" ht="13.8" x14ac:dyDescent="0.3">
      <c r="E998" s="4"/>
      <c r="F998" s="4"/>
    </row>
    <row r="999" spans="5:6" ht="13.8" x14ac:dyDescent="0.3">
      <c r="E999" s="4"/>
      <c r="F999" s="4"/>
    </row>
    <row r="1000" spans="5:6" ht="13.8" x14ac:dyDescent="0.3">
      <c r="E1000" s="4"/>
      <c r="F1000" s="4"/>
    </row>
  </sheetData>
  <autoFilter ref="A1:R1000"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3F37B-5FA3-469C-B580-3135CB05DD66}">
  <dimension ref="A1:Y1000"/>
  <sheetViews>
    <sheetView workbookViewId="0">
      <selection activeCell="E4" sqref="E4"/>
    </sheetView>
  </sheetViews>
  <sheetFormatPr defaultColWidth="14.44140625" defaultRowHeight="14.4" x14ac:dyDescent="0.3"/>
  <cols>
    <col min="1" max="1" width="39.88671875" customWidth="1"/>
    <col min="2" max="2" width="9" customWidth="1"/>
    <col min="3" max="3" width="23.109375" customWidth="1"/>
    <col min="4" max="4" width="16" customWidth="1"/>
    <col min="5" max="5" width="11" customWidth="1"/>
    <col min="6" max="6" width="53.5546875" customWidth="1"/>
    <col min="7" max="7" width="56.77734375" style="26" customWidth="1"/>
    <col min="8" max="8" width="16.44140625" customWidth="1"/>
    <col min="9" max="25" width="39.88671875" customWidth="1"/>
  </cols>
  <sheetData>
    <row r="1" spans="1:25" ht="27.6" x14ac:dyDescent="0.3">
      <c r="A1" s="19" t="s">
        <v>35</v>
      </c>
      <c r="B1" s="19" t="s">
        <v>36</v>
      </c>
      <c r="C1" s="19" t="s">
        <v>37</v>
      </c>
      <c r="D1" s="19" t="s">
        <v>38</v>
      </c>
      <c r="E1" s="19" t="s">
        <v>39</v>
      </c>
      <c r="F1" s="19" t="s">
        <v>4</v>
      </c>
      <c r="G1" s="16" t="s">
        <v>34</v>
      </c>
      <c r="H1" s="16" t="s">
        <v>40</v>
      </c>
      <c r="I1" s="19" t="s">
        <v>41</v>
      </c>
      <c r="J1" s="19" t="s">
        <v>6</v>
      </c>
      <c r="K1" s="19"/>
      <c r="L1" s="19"/>
      <c r="M1" s="19"/>
      <c r="N1" s="19"/>
      <c r="O1" s="19"/>
      <c r="P1" s="19"/>
      <c r="Q1" s="19"/>
      <c r="R1" s="19"/>
      <c r="S1" s="19"/>
      <c r="T1" s="19"/>
      <c r="U1" s="19"/>
      <c r="V1" s="19"/>
      <c r="W1" s="19"/>
      <c r="X1" s="19"/>
      <c r="Y1" s="19"/>
    </row>
    <row r="2" spans="1:25" ht="43.2" x14ac:dyDescent="0.3">
      <c r="A2" s="20" t="s">
        <v>42</v>
      </c>
      <c r="B2" s="21">
        <v>1.83E-20</v>
      </c>
      <c r="C2" s="21" t="s">
        <v>43</v>
      </c>
      <c r="D2" s="21">
        <v>2.8170000000000002</v>
      </c>
      <c r="E2" s="22">
        <v>84</v>
      </c>
      <c r="F2" s="23" t="s">
        <v>44</v>
      </c>
      <c r="G2" s="24" t="s">
        <v>45</v>
      </c>
      <c r="H2" s="22">
        <f t="shared" ref="H2:H50" si="0">IF(G2="",0,LEN(G2)-LEN(SUBSTITUTE(G2,",",""))+1)</f>
        <v>21</v>
      </c>
      <c r="I2" s="21" t="s">
        <v>46</v>
      </c>
      <c r="J2" s="21" t="s">
        <v>47</v>
      </c>
    </row>
    <row r="3" spans="1:25" ht="43.2" x14ac:dyDescent="0.3">
      <c r="A3" s="20" t="s">
        <v>48</v>
      </c>
      <c r="B3" s="21">
        <v>1.7299999999999999E-25</v>
      </c>
      <c r="C3" s="21" t="s">
        <v>43</v>
      </c>
      <c r="D3" s="21">
        <v>2.4079999999999999</v>
      </c>
      <c r="E3" s="22">
        <v>110</v>
      </c>
      <c r="F3" s="23" t="s">
        <v>49</v>
      </c>
      <c r="G3" s="24" t="s">
        <v>50</v>
      </c>
      <c r="H3" s="22">
        <f t="shared" si="0"/>
        <v>26</v>
      </c>
      <c r="I3" s="21" t="s">
        <v>51</v>
      </c>
      <c r="J3" s="21" t="s">
        <v>52</v>
      </c>
    </row>
    <row r="4" spans="1:25" ht="28.8" x14ac:dyDescent="0.3">
      <c r="A4" s="20" t="s">
        <v>53</v>
      </c>
      <c r="B4" s="21">
        <v>1.16E-20</v>
      </c>
      <c r="C4" s="21" t="s">
        <v>43</v>
      </c>
      <c r="D4" s="21">
        <v>2.5680000000000001</v>
      </c>
      <c r="E4" s="22">
        <v>81</v>
      </c>
      <c r="F4" s="23" t="s">
        <v>54</v>
      </c>
      <c r="G4" s="24" t="s">
        <v>55</v>
      </c>
      <c r="H4" s="22">
        <f t="shared" si="0"/>
        <v>20</v>
      </c>
      <c r="I4" s="21" t="s">
        <v>56</v>
      </c>
      <c r="J4" s="21" t="s">
        <v>57</v>
      </c>
    </row>
    <row r="5" spans="1:25" ht="28.8" x14ac:dyDescent="0.3">
      <c r="A5" s="20" t="s">
        <v>58</v>
      </c>
      <c r="B5" s="21">
        <v>1.4900000000000002E-14</v>
      </c>
      <c r="C5" s="21" t="s">
        <v>43</v>
      </c>
      <c r="D5" s="21">
        <v>2.3290000000000002</v>
      </c>
      <c r="E5" s="22">
        <v>45</v>
      </c>
      <c r="F5" s="23" t="s">
        <v>59</v>
      </c>
      <c r="G5" s="24" t="s">
        <v>60</v>
      </c>
      <c r="H5" s="22">
        <f t="shared" si="0"/>
        <v>14</v>
      </c>
      <c r="I5" s="21" t="s">
        <v>61</v>
      </c>
      <c r="J5" s="21" t="s">
        <v>62</v>
      </c>
    </row>
    <row r="6" spans="1:25" ht="28.8" x14ac:dyDescent="0.3">
      <c r="A6" s="20" t="s">
        <v>63</v>
      </c>
      <c r="B6" s="21">
        <v>1.04E-17</v>
      </c>
      <c r="C6" s="21" t="s">
        <v>43</v>
      </c>
      <c r="D6" s="21">
        <v>2.39</v>
      </c>
      <c r="E6" s="22">
        <v>52</v>
      </c>
      <c r="F6" s="23" t="s">
        <v>64</v>
      </c>
      <c r="G6" s="24" t="s">
        <v>65</v>
      </c>
      <c r="H6" s="22">
        <f t="shared" si="0"/>
        <v>14</v>
      </c>
      <c r="I6" s="21" t="s">
        <v>66</v>
      </c>
      <c r="J6" s="21" t="s">
        <v>67</v>
      </c>
    </row>
    <row r="7" spans="1:25" x14ac:dyDescent="0.3">
      <c r="A7" s="20" t="s">
        <v>68</v>
      </c>
      <c r="B7" s="21">
        <v>2.5899999999999999E-23</v>
      </c>
      <c r="C7" s="21" t="s">
        <v>43</v>
      </c>
      <c r="D7" s="21">
        <v>3.2789999999999999</v>
      </c>
      <c r="E7" s="22">
        <v>56</v>
      </c>
      <c r="F7" s="23" t="s">
        <v>69</v>
      </c>
      <c r="G7" s="24" t="s">
        <v>70</v>
      </c>
      <c r="H7" s="22">
        <f t="shared" si="0"/>
        <v>6</v>
      </c>
      <c r="I7" s="21" t="s">
        <v>71</v>
      </c>
      <c r="J7" s="21" t="s">
        <v>72</v>
      </c>
    </row>
    <row r="8" spans="1:25" ht="72" x14ac:dyDescent="0.3">
      <c r="A8" s="20" t="s">
        <v>73</v>
      </c>
      <c r="B8" s="21">
        <v>1.72E-49</v>
      </c>
      <c r="C8" s="21" t="s">
        <v>43</v>
      </c>
      <c r="D8" s="21">
        <v>2.6549999999999998</v>
      </c>
      <c r="E8" s="22">
        <v>265</v>
      </c>
      <c r="F8" s="23" t="s">
        <v>74</v>
      </c>
      <c r="G8" s="24" t="s">
        <v>75</v>
      </c>
      <c r="H8" s="22">
        <f t="shared" si="0"/>
        <v>43</v>
      </c>
      <c r="I8" s="21" t="s">
        <v>76</v>
      </c>
      <c r="J8" s="21" t="s">
        <v>47</v>
      </c>
    </row>
    <row r="9" spans="1:25" ht="28.8" x14ac:dyDescent="0.3">
      <c r="A9" s="20" t="s">
        <v>77</v>
      </c>
      <c r="B9" s="21">
        <v>2.05E-20</v>
      </c>
      <c r="C9" s="21" t="s">
        <v>43</v>
      </c>
      <c r="D9" s="21">
        <v>3.7349999999999999</v>
      </c>
      <c r="E9" s="22">
        <v>58</v>
      </c>
      <c r="F9" s="23" t="s">
        <v>78</v>
      </c>
      <c r="G9" s="24" t="s">
        <v>79</v>
      </c>
      <c r="H9" s="22">
        <f t="shared" si="0"/>
        <v>13</v>
      </c>
      <c r="I9" s="21" t="s">
        <v>80</v>
      </c>
      <c r="J9" s="21" t="s">
        <v>47</v>
      </c>
    </row>
    <row r="10" spans="1:25" ht="43.2" x14ac:dyDescent="0.3">
      <c r="A10" s="20" t="s">
        <v>81</v>
      </c>
      <c r="B10" s="21">
        <v>9.3300000000000005E-29</v>
      </c>
      <c r="C10" s="21" t="s">
        <v>43</v>
      </c>
      <c r="D10" s="21">
        <v>3.4609999999999999</v>
      </c>
      <c r="E10" s="22">
        <v>107</v>
      </c>
      <c r="F10" s="23" t="s">
        <v>82</v>
      </c>
      <c r="G10" s="24" t="s">
        <v>83</v>
      </c>
      <c r="H10" s="22">
        <f t="shared" si="0"/>
        <v>22</v>
      </c>
      <c r="I10" s="21" t="s">
        <v>84</v>
      </c>
      <c r="J10" s="21" t="s">
        <v>85</v>
      </c>
    </row>
    <row r="11" spans="1:25" x14ac:dyDescent="0.3">
      <c r="A11" s="20" t="s">
        <v>86</v>
      </c>
      <c r="B11" s="21">
        <v>6.9900000000000004E-24</v>
      </c>
      <c r="C11" s="21" t="s">
        <v>43</v>
      </c>
      <c r="D11" s="21">
        <v>3.3</v>
      </c>
      <c r="E11" s="22">
        <v>68</v>
      </c>
      <c r="F11" s="23" t="s">
        <v>87</v>
      </c>
      <c r="G11" s="24" t="s">
        <v>88</v>
      </c>
      <c r="H11" s="22">
        <f t="shared" si="0"/>
        <v>10</v>
      </c>
      <c r="I11" s="21" t="s">
        <v>89</v>
      </c>
      <c r="J11" s="21" t="s">
        <v>47</v>
      </c>
    </row>
    <row r="12" spans="1:25" x14ac:dyDescent="0.3">
      <c r="A12" s="20" t="s">
        <v>90</v>
      </c>
      <c r="B12" s="21">
        <v>8.9999999999999995E-24</v>
      </c>
      <c r="C12" s="21" t="s">
        <v>43</v>
      </c>
      <c r="D12" s="21">
        <v>3.431</v>
      </c>
      <c r="E12" s="22">
        <v>67</v>
      </c>
      <c r="F12" s="23" t="s">
        <v>91</v>
      </c>
      <c r="G12" s="24" t="s">
        <v>92</v>
      </c>
      <c r="H12" s="22">
        <f t="shared" si="0"/>
        <v>9</v>
      </c>
      <c r="I12" s="21" t="s">
        <v>93</v>
      </c>
      <c r="J12" s="21" t="s">
        <v>47</v>
      </c>
    </row>
    <row r="13" spans="1:25" x14ac:dyDescent="0.3">
      <c r="A13" s="20" t="s">
        <v>94</v>
      </c>
      <c r="B13" s="21">
        <v>7.6700000000000004E-10</v>
      </c>
      <c r="C13" s="21" t="s">
        <v>43</v>
      </c>
      <c r="D13" s="21">
        <v>2.948</v>
      </c>
      <c r="E13" s="22">
        <v>24</v>
      </c>
      <c r="F13" s="23" t="s">
        <v>95</v>
      </c>
      <c r="G13" s="24" t="s">
        <v>96</v>
      </c>
      <c r="H13" s="22">
        <f t="shared" si="0"/>
        <v>9</v>
      </c>
      <c r="I13" s="21" t="s">
        <v>97</v>
      </c>
      <c r="J13" s="21" t="s">
        <v>98</v>
      </c>
    </row>
    <row r="14" spans="1:25" ht="28.8" x14ac:dyDescent="0.3">
      <c r="A14" s="20" t="s">
        <v>99</v>
      </c>
      <c r="B14" s="21">
        <v>1.6599999999999999E-26</v>
      </c>
      <c r="C14" s="21" t="s">
        <v>43</v>
      </c>
      <c r="D14" s="21">
        <v>3.65</v>
      </c>
      <c r="E14" s="22">
        <v>77</v>
      </c>
      <c r="F14" s="23" t="s">
        <v>100</v>
      </c>
      <c r="G14" s="24" t="s">
        <v>101</v>
      </c>
      <c r="H14" s="22">
        <f t="shared" si="0"/>
        <v>14</v>
      </c>
      <c r="I14" s="21" t="s">
        <v>102</v>
      </c>
      <c r="J14" s="21" t="s">
        <v>103</v>
      </c>
    </row>
    <row r="15" spans="1:25" ht="28.8" x14ac:dyDescent="0.3">
      <c r="A15" s="20" t="s">
        <v>104</v>
      </c>
      <c r="B15" s="21">
        <v>6.5E-25</v>
      </c>
      <c r="C15" s="21" t="s">
        <v>43</v>
      </c>
      <c r="D15" s="21">
        <v>3.4790000000000001</v>
      </c>
      <c r="E15" s="22">
        <v>82</v>
      </c>
      <c r="F15" s="23" t="s">
        <v>105</v>
      </c>
      <c r="G15" s="24" t="s">
        <v>106</v>
      </c>
      <c r="H15" s="22">
        <f t="shared" si="0"/>
        <v>19</v>
      </c>
      <c r="I15" s="21" t="s">
        <v>107</v>
      </c>
      <c r="J15" s="21" t="s">
        <v>108</v>
      </c>
    </row>
    <row r="16" spans="1:25" x14ac:dyDescent="0.3">
      <c r="A16" s="20" t="s">
        <v>109</v>
      </c>
      <c r="B16" s="21">
        <v>1.8399999999999999E-15</v>
      </c>
      <c r="C16" s="21" t="s">
        <v>43</v>
      </c>
      <c r="D16" s="21">
        <v>3.2650000000000001</v>
      </c>
      <c r="E16" s="22">
        <v>46</v>
      </c>
      <c r="F16" s="23" t="s">
        <v>110</v>
      </c>
      <c r="G16" s="24" t="s">
        <v>111</v>
      </c>
      <c r="H16" s="22">
        <f t="shared" si="0"/>
        <v>8</v>
      </c>
      <c r="I16" s="21" t="s">
        <v>112</v>
      </c>
      <c r="J16" s="21" t="s">
        <v>47</v>
      </c>
    </row>
    <row r="17" spans="1:10" ht="28.8" x14ac:dyDescent="0.3">
      <c r="A17" s="20" t="s">
        <v>113</v>
      </c>
      <c r="B17" s="21">
        <v>1.7900000000000001E-21</v>
      </c>
      <c r="C17" s="21" t="s">
        <v>43</v>
      </c>
      <c r="D17" s="21">
        <v>3.1880000000000002</v>
      </c>
      <c r="E17" s="22">
        <v>77</v>
      </c>
      <c r="F17" s="23" t="s">
        <v>114</v>
      </c>
      <c r="G17" s="24" t="s">
        <v>115</v>
      </c>
      <c r="H17" s="22">
        <f t="shared" si="0"/>
        <v>16</v>
      </c>
      <c r="I17" s="21" t="s">
        <v>116</v>
      </c>
      <c r="J17" s="21" t="s">
        <v>47</v>
      </c>
    </row>
    <row r="18" spans="1:10" x14ac:dyDescent="0.3">
      <c r="A18" s="20" t="s">
        <v>117</v>
      </c>
      <c r="B18" s="21">
        <v>5.9200000000000005E-17</v>
      </c>
      <c r="C18" s="21" t="s">
        <v>43</v>
      </c>
      <c r="D18" s="21">
        <v>3.6629999999999998</v>
      </c>
      <c r="E18" s="22">
        <v>44</v>
      </c>
      <c r="F18" s="23" t="s">
        <v>118</v>
      </c>
      <c r="G18" s="24" t="s">
        <v>119</v>
      </c>
      <c r="H18" s="22">
        <f t="shared" si="0"/>
        <v>5</v>
      </c>
      <c r="I18" s="21" t="s">
        <v>120</v>
      </c>
      <c r="J18" s="21" t="s">
        <v>47</v>
      </c>
    </row>
    <row r="19" spans="1:10" ht="43.2" x14ac:dyDescent="0.3">
      <c r="A19" s="20" t="s">
        <v>121</v>
      </c>
      <c r="B19" s="21">
        <v>4.41E-27</v>
      </c>
      <c r="C19" s="21" t="s">
        <v>43</v>
      </c>
      <c r="D19" s="21">
        <v>2.9940000000000002</v>
      </c>
      <c r="E19" s="22">
        <v>82</v>
      </c>
      <c r="F19" s="23" t="s">
        <v>122</v>
      </c>
      <c r="G19" s="24" t="s">
        <v>123</v>
      </c>
      <c r="H19" s="22">
        <f t="shared" si="0"/>
        <v>22</v>
      </c>
      <c r="I19" s="21" t="s">
        <v>124</v>
      </c>
      <c r="J19" s="21" t="s">
        <v>62</v>
      </c>
    </row>
    <row r="20" spans="1:10" ht="28.8" x14ac:dyDescent="0.3">
      <c r="A20" s="20" t="s">
        <v>125</v>
      </c>
      <c r="B20" s="21">
        <v>1.09E-18</v>
      </c>
      <c r="C20" s="21" t="s">
        <v>43</v>
      </c>
      <c r="D20" s="21">
        <v>3.3239999999999998</v>
      </c>
      <c r="E20" s="22">
        <v>43</v>
      </c>
      <c r="F20" s="23" t="s">
        <v>126</v>
      </c>
      <c r="G20" s="24" t="s">
        <v>127</v>
      </c>
      <c r="H20" s="22">
        <f t="shared" si="0"/>
        <v>11</v>
      </c>
      <c r="I20" s="21" t="s">
        <v>128</v>
      </c>
      <c r="J20" s="21" t="s">
        <v>129</v>
      </c>
    </row>
    <row r="21" spans="1:10" ht="28.8" x14ac:dyDescent="0.3">
      <c r="A21" s="20" t="s">
        <v>130</v>
      </c>
      <c r="B21" s="21">
        <v>1.6599999999999999E-25</v>
      </c>
      <c r="C21" s="21" t="s">
        <v>43</v>
      </c>
      <c r="D21" s="21">
        <v>2.9820000000000002</v>
      </c>
      <c r="E21" s="22">
        <v>76</v>
      </c>
      <c r="F21" s="23" t="s">
        <v>131</v>
      </c>
      <c r="G21" s="24" t="s">
        <v>132</v>
      </c>
      <c r="H21" s="22">
        <f t="shared" si="0"/>
        <v>19</v>
      </c>
      <c r="I21" s="21" t="s">
        <v>133</v>
      </c>
      <c r="J21" s="21" t="s">
        <v>47</v>
      </c>
    </row>
    <row r="22" spans="1:10" x14ac:dyDescent="0.3">
      <c r="A22" s="20" t="s">
        <v>134</v>
      </c>
      <c r="B22" s="21">
        <v>2.4999999999999999E-13</v>
      </c>
      <c r="C22" s="21" t="s">
        <v>43</v>
      </c>
      <c r="D22" s="21">
        <v>2.4140000000000001</v>
      </c>
      <c r="E22" s="22">
        <v>34</v>
      </c>
      <c r="F22" s="23" t="s">
        <v>135</v>
      </c>
      <c r="G22" s="24" t="s">
        <v>136</v>
      </c>
      <c r="H22" s="22">
        <f t="shared" si="0"/>
        <v>6</v>
      </c>
      <c r="I22" s="21" t="s">
        <v>137</v>
      </c>
      <c r="J22" s="21" t="s">
        <v>129</v>
      </c>
    </row>
    <row r="23" spans="1:10" x14ac:dyDescent="0.3">
      <c r="A23" s="20" t="s">
        <v>138</v>
      </c>
      <c r="B23" s="21">
        <v>8.8999999999999999E-14</v>
      </c>
      <c r="C23" s="21" t="s">
        <v>43</v>
      </c>
      <c r="D23" s="21">
        <v>2.7629999999999999</v>
      </c>
      <c r="E23" s="22">
        <v>37</v>
      </c>
      <c r="F23" s="23" t="s">
        <v>139</v>
      </c>
      <c r="G23" s="24" t="s">
        <v>140</v>
      </c>
      <c r="H23" s="22">
        <f t="shared" si="0"/>
        <v>8</v>
      </c>
      <c r="I23" s="21" t="s">
        <v>141</v>
      </c>
      <c r="J23" s="21" t="s">
        <v>103</v>
      </c>
    </row>
    <row r="24" spans="1:10" ht="28.8" x14ac:dyDescent="0.3">
      <c r="A24" s="20" t="s">
        <v>142</v>
      </c>
      <c r="B24" s="21">
        <v>1.01E-23</v>
      </c>
      <c r="C24" s="21" t="s">
        <v>43</v>
      </c>
      <c r="D24" s="21">
        <v>3.0649999999999999</v>
      </c>
      <c r="E24" s="22">
        <v>61</v>
      </c>
      <c r="F24" s="23" t="s">
        <v>143</v>
      </c>
      <c r="G24" s="24" t="s">
        <v>144</v>
      </c>
      <c r="H24" s="22">
        <f t="shared" si="0"/>
        <v>17</v>
      </c>
      <c r="I24" s="21" t="s">
        <v>145</v>
      </c>
      <c r="J24" s="21" t="s">
        <v>47</v>
      </c>
    </row>
    <row r="25" spans="1:10" ht="28.8" x14ac:dyDescent="0.3">
      <c r="A25" s="20" t="s">
        <v>146</v>
      </c>
      <c r="B25" s="21">
        <v>3.0000000000000003E-20</v>
      </c>
      <c r="C25" s="21" t="s">
        <v>43</v>
      </c>
      <c r="D25" s="21">
        <v>2.3679999999999999</v>
      </c>
      <c r="E25" s="22">
        <v>54</v>
      </c>
      <c r="F25" s="23" t="s">
        <v>147</v>
      </c>
      <c r="G25" s="24" t="s">
        <v>148</v>
      </c>
      <c r="H25" s="22">
        <f t="shared" si="0"/>
        <v>15</v>
      </c>
      <c r="I25" s="21" t="s">
        <v>149</v>
      </c>
      <c r="J25" s="21" t="s">
        <v>47</v>
      </c>
    </row>
    <row r="26" spans="1:10" ht="28.8" x14ac:dyDescent="0.3">
      <c r="A26" s="20" t="s">
        <v>150</v>
      </c>
      <c r="B26" s="21">
        <v>4.1300000000000004E-12</v>
      </c>
      <c r="C26" s="21" t="s">
        <v>43</v>
      </c>
      <c r="D26" s="21">
        <v>2.2280000000000002</v>
      </c>
      <c r="E26" s="22">
        <v>52</v>
      </c>
      <c r="F26" s="23" t="s">
        <v>151</v>
      </c>
      <c r="G26" s="24" t="s">
        <v>152</v>
      </c>
      <c r="H26" s="22">
        <f t="shared" si="0"/>
        <v>12</v>
      </c>
      <c r="I26" s="21" t="s">
        <v>153</v>
      </c>
      <c r="J26" s="21" t="s">
        <v>154</v>
      </c>
    </row>
    <row r="27" spans="1:10" x14ac:dyDescent="0.3">
      <c r="A27" s="20" t="s">
        <v>155</v>
      </c>
      <c r="B27" s="21">
        <v>2.2300000000000001E-10</v>
      </c>
      <c r="C27" s="21" t="s">
        <v>43</v>
      </c>
      <c r="D27" s="21">
        <v>3.7570000000000001</v>
      </c>
      <c r="E27" s="22">
        <v>37</v>
      </c>
      <c r="F27" s="23" t="s">
        <v>156</v>
      </c>
      <c r="G27" s="24" t="s">
        <v>157</v>
      </c>
      <c r="H27" s="22">
        <f t="shared" si="0"/>
        <v>8</v>
      </c>
      <c r="I27" s="21" t="s">
        <v>158</v>
      </c>
      <c r="J27" s="21" t="s">
        <v>159</v>
      </c>
    </row>
    <row r="28" spans="1:10" x14ac:dyDescent="0.3">
      <c r="A28" s="20" t="s">
        <v>160</v>
      </c>
      <c r="B28" s="21">
        <v>9.28E-10</v>
      </c>
      <c r="C28" s="21" t="s">
        <v>43</v>
      </c>
      <c r="D28" s="21">
        <v>2.996</v>
      </c>
      <c r="E28" s="22">
        <v>19</v>
      </c>
      <c r="F28" s="23" t="s">
        <v>161</v>
      </c>
      <c r="G28" s="24" t="s">
        <v>162</v>
      </c>
      <c r="H28" s="22">
        <f t="shared" si="0"/>
        <v>2</v>
      </c>
      <c r="I28" s="21" t="s">
        <v>163</v>
      </c>
      <c r="J28" s="21" t="s">
        <v>47</v>
      </c>
    </row>
    <row r="29" spans="1:10" x14ac:dyDescent="0.3">
      <c r="A29" s="20" t="s">
        <v>164</v>
      </c>
      <c r="B29" s="21">
        <v>8.5899999999999995E-11</v>
      </c>
      <c r="C29" s="21" t="s">
        <v>43</v>
      </c>
      <c r="D29" s="21">
        <v>2.988</v>
      </c>
      <c r="E29" s="22">
        <v>25</v>
      </c>
      <c r="F29" s="23" t="s">
        <v>165</v>
      </c>
      <c r="G29" s="24" t="s">
        <v>166</v>
      </c>
      <c r="H29" s="22">
        <f t="shared" si="0"/>
        <v>5</v>
      </c>
      <c r="I29" s="21" t="s">
        <v>167</v>
      </c>
      <c r="J29" s="21" t="s">
        <v>103</v>
      </c>
    </row>
    <row r="30" spans="1:10" ht="28.8" x14ac:dyDescent="0.3">
      <c r="A30" s="20" t="s">
        <v>168</v>
      </c>
      <c r="B30" s="21">
        <v>3.0600000000000001E-13</v>
      </c>
      <c r="C30" s="21" t="s">
        <v>43</v>
      </c>
      <c r="D30" s="21">
        <v>2.16</v>
      </c>
      <c r="E30" s="22">
        <v>46</v>
      </c>
      <c r="F30" s="23" t="s">
        <v>169</v>
      </c>
      <c r="G30" s="24" t="s">
        <v>170</v>
      </c>
      <c r="H30" s="22">
        <f t="shared" si="0"/>
        <v>14</v>
      </c>
      <c r="I30" s="21" t="s">
        <v>171</v>
      </c>
      <c r="J30" s="21" t="s">
        <v>172</v>
      </c>
    </row>
    <row r="31" spans="1:10" x14ac:dyDescent="0.3">
      <c r="A31" s="20" t="s">
        <v>173</v>
      </c>
      <c r="B31" s="21">
        <v>7.7599999999999996E-11</v>
      </c>
      <c r="C31" s="21" t="s">
        <v>43</v>
      </c>
      <c r="D31" s="21">
        <v>3.39</v>
      </c>
      <c r="E31" s="22">
        <v>39</v>
      </c>
      <c r="F31" s="23" t="s">
        <v>174</v>
      </c>
      <c r="G31" s="24" t="s">
        <v>157</v>
      </c>
      <c r="H31" s="22">
        <f t="shared" si="0"/>
        <v>8</v>
      </c>
      <c r="I31" s="21" t="s">
        <v>175</v>
      </c>
      <c r="J31" s="21" t="s">
        <v>47</v>
      </c>
    </row>
    <row r="32" spans="1:10" x14ac:dyDescent="0.3">
      <c r="A32" s="20" t="s">
        <v>176</v>
      </c>
      <c r="B32" s="21">
        <v>1.9100000000000001E-10</v>
      </c>
      <c r="C32" s="21" t="s">
        <v>43</v>
      </c>
      <c r="D32" s="21">
        <v>2.7949999999999999</v>
      </c>
      <c r="E32" s="22">
        <v>22</v>
      </c>
      <c r="F32" s="23" t="s">
        <v>177</v>
      </c>
      <c r="G32" s="24" t="s">
        <v>162</v>
      </c>
      <c r="H32" s="22">
        <f t="shared" si="0"/>
        <v>2</v>
      </c>
      <c r="I32" s="21" t="s">
        <v>178</v>
      </c>
      <c r="J32" s="21" t="s">
        <v>47</v>
      </c>
    </row>
    <row r="33" spans="1:10" x14ac:dyDescent="0.3">
      <c r="A33" s="20" t="s">
        <v>179</v>
      </c>
      <c r="B33" s="21">
        <v>1.2200000000000001E-11</v>
      </c>
      <c r="C33" s="21" t="s">
        <v>43</v>
      </c>
      <c r="D33" s="21">
        <v>2.8010000000000002</v>
      </c>
      <c r="E33" s="22">
        <v>28</v>
      </c>
      <c r="F33" s="23" t="s">
        <v>180</v>
      </c>
      <c r="G33" s="24" t="s">
        <v>166</v>
      </c>
      <c r="H33" s="22">
        <f t="shared" si="0"/>
        <v>5</v>
      </c>
      <c r="I33" s="21" t="s">
        <v>181</v>
      </c>
      <c r="J33" s="21" t="s">
        <v>47</v>
      </c>
    </row>
    <row r="34" spans="1:10" x14ac:dyDescent="0.3">
      <c r="A34" s="20" t="s">
        <v>182</v>
      </c>
      <c r="B34" s="21">
        <v>5.7100000000000003E-9</v>
      </c>
      <c r="C34" s="21" t="s">
        <v>43</v>
      </c>
      <c r="D34" s="21">
        <v>3.2189999999999999</v>
      </c>
      <c r="E34" s="22">
        <v>17</v>
      </c>
      <c r="F34" s="23" t="s">
        <v>183</v>
      </c>
      <c r="G34" s="24" t="s">
        <v>31</v>
      </c>
      <c r="H34" s="22">
        <f t="shared" si="0"/>
        <v>1</v>
      </c>
      <c r="I34" s="21" t="s">
        <v>184</v>
      </c>
      <c r="J34" s="21" t="s">
        <v>47</v>
      </c>
    </row>
    <row r="35" spans="1:10" x14ac:dyDescent="0.3">
      <c r="A35" s="20" t="s">
        <v>185</v>
      </c>
      <c r="B35" s="21">
        <v>1.34E-14</v>
      </c>
      <c r="C35" s="21" t="s">
        <v>43</v>
      </c>
      <c r="D35" s="21">
        <v>2.5979999999999999</v>
      </c>
      <c r="E35" s="22">
        <v>34</v>
      </c>
      <c r="F35" s="23" t="s">
        <v>186</v>
      </c>
      <c r="G35" s="24" t="s">
        <v>187</v>
      </c>
      <c r="H35" s="22">
        <f t="shared" si="0"/>
        <v>9</v>
      </c>
      <c r="I35" s="21" t="s">
        <v>188</v>
      </c>
      <c r="J35" s="21" t="s">
        <v>189</v>
      </c>
    </row>
    <row r="36" spans="1:10" x14ac:dyDescent="0.3">
      <c r="A36" s="20" t="s">
        <v>190</v>
      </c>
      <c r="B36" s="21">
        <v>1.09E-9</v>
      </c>
      <c r="C36" s="21" t="s">
        <v>43</v>
      </c>
      <c r="D36" s="21">
        <v>2.278</v>
      </c>
      <c r="E36" s="22">
        <v>25</v>
      </c>
      <c r="F36" s="23" t="s">
        <v>191</v>
      </c>
      <c r="G36" s="24" t="s">
        <v>192</v>
      </c>
      <c r="H36" s="22">
        <f t="shared" si="0"/>
        <v>6</v>
      </c>
      <c r="I36" s="21" t="s">
        <v>193</v>
      </c>
      <c r="J36" s="21" t="s">
        <v>47</v>
      </c>
    </row>
    <row r="37" spans="1:10" ht="72" x14ac:dyDescent="0.3">
      <c r="A37" s="20" t="s">
        <v>194</v>
      </c>
      <c r="B37" s="21">
        <v>1.4900000000000001E-61</v>
      </c>
      <c r="C37" s="21" t="s">
        <v>43</v>
      </c>
      <c r="D37" s="21">
        <v>2.012</v>
      </c>
      <c r="E37" s="22">
        <v>230</v>
      </c>
      <c r="F37" s="23" t="s">
        <v>195</v>
      </c>
      <c r="G37" s="24" t="s">
        <v>196</v>
      </c>
      <c r="H37" s="22">
        <f t="shared" si="0"/>
        <v>42</v>
      </c>
      <c r="I37" s="21" t="s">
        <v>197</v>
      </c>
      <c r="J37" s="21" t="s">
        <v>47</v>
      </c>
    </row>
    <row r="38" spans="1:10" ht="43.2" x14ac:dyDescent="0.3">
      <c r="A38" s="20" t="s">
        <v>198</v>
      </c>
      <c r="B38" s="21">
        <v>9.83E-40</v>
      </c>
      <c r="C38" s="21" t="s">
        <v>43</v>
      </c>
      <c r="D38" s="21">
        <v>3.8540000000000001</v>
      </c>
      <c r="E38" s="22">
        <v>122</v>
      </c>
      <c r="F38" s="23" t="s">
        <v>199</v>
      </c>
      <c r="G38" s="24" t="s">
        <v>200</v>
      </c>
      <c r="H38" s="22">
        <f t="shared" si="0"/>
        <v>27</v>
      </c>
      <c r="I38" s="21" t="s">
        <v>201</v>
      </c>
      <c r="J38" s="21" t="s">
        <v>202</v>
      </c>
    </row>
    <row r="39" spans="1:10" ht="43.2" x14ac:dyDescent="0.3">
      <c r="A39" s="20" t="s">
        <v>203</v>
      </c>
      <c r="B39" s="21">
        <v>6.9500000000000005E-33</v>
      </c>
      <c r="C39" s="21" t="s">
        <v>43</v>
      </c>
      <c r="D39" s="21">
        <v>3.3820000000000001</v>
      </c>
      <c r="E39" s="22">
        <v>120</v>
      </c>
      <c r="F39" s="23" t="s">
        <v>204</v>
      </c>
      <c r="G39" s="24" t="s">
        <v>205</v>
      </c>
      <c r="H39" s="22">
        <f t="shared" si="0"/>
        <v>26</v>
      </c>
      <c r="I39" s="21" t="s">
        <v>206</v>
      </c>
      <c r="J39" s="21" t="s">
        <v>207</v>
      </c>
    </row>
    <row r="40" spans="1:10" x14ac:dyDescent="0.3">
      <c r="A40" s="20" t="s">
        <v>208</v>
      </c>
      <c r="B40" s="21">
        <v>1.3399999999999999E-19</v>
      </c>
      <c r="C40" s="21" t="s">
        <v>43</v>
      </c>
      <c r="D40" s="21">
        <v>3.6520000000000001</v>
      </c>
      <c r="E40" s="22">
        <v>57</v>
      </c>
      <c r="F40" s="23" t="s">
        <v>209</v>
      </c>
      <c r="G40" s="24" t="s">
        <v>210</v>
      </c>
      <c r="H40" s="22">
        <f t="shared" si="0"/>
        <v>9</v>
      </c>
      <c r="I40" s="21" t="s">
        <v>211</v>
      </c>
      <c r="J40" s="21" t="s">
        <v>212</v>
      </c>
    </row>
    <row r="41" spans="1:10" ht="72" x14ac:dyDescent="0.3">
      <c r="A41" s="20" t="s">
        <v>213</v>
      </c>
      <c r="B41" s="21">
        <v>1.2299999999999999E-52</v>
      </c>
      <c r="C41" s="21" t="s">
        <v>43</v>
      </c>
      <c r="D41" s="21">
        <v>3.0449999999999999</v>
      </c>
      <c r="E41" s="22">
        <v>258</v>
      </c>
      <c r="F41" s="23" t="s">
        <v>214</v>
      </c>
      <c r="G41" s="24" t="s">
        <v>215</v>
      </c>
      <c r="H41" s="22">
        <f t="shared" si="0"/>
        <v>42</v>
      </c>
      <c r="I41" s="21" t="s">
        <v>216</v>
      </c>
      <c r="J41" s="21" t="s">
        <v>52</v>
      </c>
    </row>
    <row r="42" spans="1:10" x14ac:dyDescent="0.3">
      <c r="A42" s="20" t="s">
        <v>217</v>
      </c>
      <c r="B42" s="21">
        <v>1.4900000000000001E-20</v>
      </c>
      <c r="C42" s="21" t="s">
        <v>43</v>
      </c>
      <c r="D42" s="21">
        <v>3.5070000000000001</v>
      </c>
      <c r="E42" s="22">
        <v>59</v>
      </c>
      <c r="F42" s="23" t="s">
        <v>218</v>
      </c>
      <c r="G42" s="24" t="s">
        <v>219</v>
      </c>
      <c r="H42" s="22">
        <f t="shared" si="0"/>
        <v>9</v>
      </c>
      <c r="I42" s="21" t="s">
        <v>220</v>
      </c>
      <c r="J42" s="21" t="s">
        <v>47</v>
      </c>
    </row>
    <row r="43" spans="1:10" x14ac:dyDescent="0.3">
      <c r="A43" s="20" t="s">
        <v>221</v>
      </c>
      <c r="B43" s="21">
        <v>1.45E-21</v>
      </c>
      <c r="C43" s="21" t="s">
        <v>43</v>
      </c>
      <c r="D43" s="21">
        <v>3.6960000000000002</v>
      </c>
      <c r="E43" s="22">
        <v>62</v>
      </c>
      <c r="F43" s="23" t="s">
        <v>222</v>
      </c>
      <c r="G43" s="24" t="s">
        <v>223</v>
      </c>
      <c r="H43" s="22">
        <f t="shared" si="0"/>
        <v>11</v>
      </c>
      <c r="I43" s="21" t="s">
        <v>224</v>
      </c>
      <c r="J43" s="21" t="s">
        <v>47</v>
      </c>
    </row>
    <row r="44" spans="1:10" x14ac:dyDescent="0.3">
      <c r="A44" s="20" t="s">
        <v>225</v>
      </c>
      <c r="B44" s="21">
        <v>1.29E-11</v>
      </c>
      <c r="C44" s="21" t="s">
        <v>43</v>
      </c>
      <c r="D44" s="21">
        <v>2.9359999999999999</v>
      </c>
      <c r="E44" s="22">
        <v>20</v>
      </c>
      <c r="F44" s="23" t="s">
        <v>226</v>
      </c>
      <c r="G44" s="24" t="s">
        <v>227</v>
      </c>
      <c r="H44" s="22">
        <f t="shared" si="0"/>
        <v>5</v>
      </c>
      <c r="I44" s="21" t="s">
        <v>228</v>
      </c>
      <c r="J44" s="21" t="s">
        <v>47</v>
      </c>
    </row>
    <row r="45" spans="1:10" x14ac:dyDescent="0.3">
      <c r="A45" s="20" t="s">
        <v>229</v>
      </c>
      <c r="B45" s="21">
        <v>6.3099999999999994E-11</v>
      </c>
      <c r="C45" s="21" t="s">
        <v>43</v>
      </c>
      <c r="D45" s="21">
        <v>3.1659999999999999</v>
      </c>
      <c r="E45" s="22">
        <v>19</v>
      </c>
      <c r="F45" s="23" t="s">
        <v>230</v>
      </c>
      <c r="G45" s="24" t="s">
        <v>231</v>
      </c>
      <c r="H45" s="22">
        <f t="shared" si="0"/>
        <v>4</v>
      </c>
      <c r="I45" s="21" t="s">
        <v>232</v>
      </c>
      <c r="J45" s="21" t="s">
        <v>47</v>
      </c>
    </row>
    <row r="46" spans="1:10" x14ac:dyDescent="0.3">
      <c r="A46" s="20" t="s">
        <v>233</v>
      </c>
      <c r="B46" s="21">
        <v>1.0399999999999999E-11</v>
      </c>
      <c r="C46" s="21" t="s">
        <v>43</v>
      </c>
      <c r="D46" s="21">
        <v>2.456</v>
      </c>
      <c r="E46" s="22">
        <v>23</v>
      </c>
      <c r="F46" s="23" t="s">
        <v>234</v>
      </c>
      <c r="G46" s="24" t="s">
        <v>235</v>
      </c>
      <c r="H46" s="22">
        <f t="shared" si="0"/>
        <v>6</v>
      </c>
      <c r="I46" s="21" t="s">
        <v>236</v>
      </c>
      <c r="J46" s="21" t="s">
        <v>103</v>
      </c>
    </row>
    <row r="47" spans="1:10" x14ac:dyDescent="0.3">
      <c r="A47" s="20" t="s">
        <v>237</v>
      </c>
      <c r="B47" s="21">
        <v>5.0700000000000001E-9</v>
      </c>
      <c r="C47" s="21" t="s">
        <v>43</v>
      </c>
      <c r="D47" s="21">
        <v>3.0779999999999998</v>
      </c>
      <c r="E47" s="22">
        <v>15</v>
      </c>
      <c r="F47" s="23" t="s">
        <v>238</v>
      </c>
      <c r="G47" s="24" t="s">
        <v>239</v>
      </c>
      <c r="H47" s="22">
        <f t="shared" si="0"/>
        <v>3</v>
      </c>
      <c r="I47" s="21" t="s">
        <v>240</v>
      </c>
      <c r="J47" s="21" t="s">
        <v>47</v>
      </c>
    </row>
    <row r="48" spans="1:10" x14ac:dyDescent="0.3">
      <c r="A48" s="20" t="s">
        <v>241</v>
      </c>
      <c r="B48" s="21">
        <v>2.4299999999999999E-17</v>
      </c>
      <c r="C48" s="21" t="s">
        <v>43</v>
      </c>
      <c r="D48" s="21">
        <v>3.7010000000000001</v>
      </c>
      <c r="E48" s="22">
        <v>47</v>
      </c>
      <c r="F48" s="23" t="s">
        <v>242</v>
      </c>
      <c r="G48" s="24" t="s">
        <v>119</v>
      </c>
      <c r="H48" s="22">
        <f t="shared" si="0"/>
        <v>5</v>
      </c>
      <c r="I48" s="21" t="s">
        <v>243</v>
      </c>
      <c r="J48" s="21" t="s">
        <v>244</v>
      </c>
    </row>
    <row r="49" spans="1:10" x14ac:dyDescent="0.3">
      <c r="A49" s="20" t="s">
        <v>245</v>
      </c>
      <c r="B49" s="21">
        <v>2.1500000000000001E-10</v>
      </c>
      <c r="C49" s="21" t="s">
        <v>43</v>
      </c>
      <c r="D49" s="21">
        <v>2.246</v>
      </c>
      <c r="E49" s="22">
        <v>26</v>
      </c>
      <c r="F49" s="23" t="s">
        <v>246</v>
      </c>
      <c r="G49" s="24" t="s">
        <v>247</v>
      </c>
      <c r="H49" s="22">
        <f t="shared" si="0"/>
        <v>6</v>
      </c>
      <c r="I49" s="21" t="s">
        <v>248</v>
      </c>
      <c r="J49" s="21" t="s">
        <v>47</v>
      </c>
    </row>
    <row r="50" spans="1:10" x14ac:dyDescent="0.3">
      <c r="A50" s="20" t="s">
        <v>249</v>
      </c>
      <c r="B50" s="21">
        <v>6.9999999999999996E-10</v>
      </c>
      <c r="C50" s="21" t="s">
        <v>43</v>
      </c>
      <c r="D50" s="21">
        <v>2.8820000000000001</v>
      </c>
      <c r="E50" s="22">
        <v>22</v>
      </c>
      <c r="F50" s="23" t="s">
        <v>250</v>
      </c>
      <c r="G50" s="24" t="s">
        <v>247</v>
      </c>
      <c r="H50" s="22">
        <f t="shared" si="0"/>
        <v>6</v>
      </c>
      <c r="I50" s="21" t="s">
        <v>251</v>
      </c>
      <c r="J50" s="21" t="s">
        <v>47</v>
      </c>
    </row>
    <row r="51" spans="1:10" x14ac:dyDescent="0.3">
      <c r="F51" s="23"/>
      <c r="G51" s="25"/>
    </row>
    <row r="52" spans="1:10" x14ac:dyDescent="0.3">
      <c r="F52" s="23"/>
      <c r="G52" s="25"/>
    </row>
    <row r="53" spans="1:10" x14ac:dyDescent="0.3">
      <c r="F53" s="23"/>
      <c r="G53" s="25"/>
    </row>
    <row r="54" spans="1:10" x14ac:dyDescent="0.3">
      <c r="F54" s="23"/>
      <c r="G54" s="25"/>
    </row>
    <row r="55" spans="1:10" x14ac:dyDescent="0.3">
      <c r="F55" s="23"/>
      <c r="G55" s="25"/>
    </row>
    <row r="56" spans="1:10" x14ac:dyDescent="0.3">
      <c r="F56" s="23"/>
      <c r="G56" s="25"/>
    </row>
    <row r="57" spans="1:10" x14ac:dyDescent="0.3">
      <c r="F57" s="23"/>
      <c r="G57" s="25"/>
    </row>
    <row r="58" spans="1:10" x14ac:dyDescent="0.3">
      <c r="F58" s="23"/>
      <c r="G58" s="25"/>
    </row>
    <row r="59" spans="1:10" x14ac:dyDescent="0.3">
      <c r="F59" s="23"/>
      <c r="G59" s="25"/>
    </row>
    <row r="60" spans="1:10" x14ac:dyDescent="0.3">
      <c r="F60" s="23"/>
      <c r="G60" s="25"/>
    </row>
    <row r="61" spans="1:10" x14ac:dyDescent="0.3">
      <c r="F61" s="23"/>
      <c r="G61" s="25"/>
    </row>
    <row r="62" spans="1:10" x14ac:dyDescent="0.3">
      <c r="F62" s="23"/>
      <c r="G62" s="25"/>
    </row>
    <row r="63" spans="1:10" x14ac:dyDescent="0.3">
      <c r="F63" s="23"/>
      <c r="G63" s="25"/>
    </row>
    <row r="64" spans="1:10" x14ac:dyDescent="0.3">
      <c r="F64" s="23"/>
      <c r="G64" s="25"/>
    </row>
    <row r="65" spans="6:7" x14ac:dyDescent="0.3">
      <c r="F65" s="23"/>
      <c r="G65" s="25"/>
    </row>
    <row r="66" spans="6:7" x14ac:dyDescent="0.3">
      <c r="F66" s="23"/>
      <c r="G66" s="25"/>
    </row>
    <row r="67" spans="6:7" x14ac:dyDescent="0.3">
      <c r="F67" s="23"/>
      <c r="G67" s="25"/>
    </row>
    <row r="68" spans="6:7" x14ac:dyDescent="0.3">
      <c r="F68" s="23"/>
      <c r="G68" s="25"/>
    </row>
    <row r="69" spans="6:7" x14ac:dyDescent="0.3">
      <c r="F69" s="23"/>
      <c r="G69" s="25"/>
    </row>
    <row r="70" spans="6:7" x14ac:dyDescent="0.3">
      <c r="F70" s="23"/>
      <c r="G70" s="25"/>
    </row>
    <row r="71" spans="6:7" x14ac:dyDescent="0.3">
      <c r="F71" s="23"/>
      <c r="G71" s="25"/>
    </row>
    <row r="72" spans="6:7" x14ac:dyDescent="0.3">
      <c r="F72" s="23"/>
      <c r="G72" s="25"/>
    </row>
    <row r="73" spans="6:7" x14ac:dyDescent="0.3">
      <c r="F73" s="23"/>
      <c r="G73" s="25"/>
    </row>
    <row r="74" spans="6:7" x14ac:dyDescent="0.3">
      <c r="F74" s="23"/>
      <c r="G74" s="25"/>
    </row>
    <row r="75" spans="6:7" x14ac:dyDescent="0.3">
      <c r="F75" s="23"/>
      <c r="G75" s="25"/>
    </row>
    <row r="76" spans="6:7" x14ac:dyDescent="0.3">
      <c r="F76" s="23"/>
      <c r="G76" s="25"/>
    </row>
    <row r="77" spans="6:7" x14ac:dyDescent="0.3">
      <c r="F77" s="23"/>
      <c r="G77" s="25"/>
    </row>
    <row r="78" spans="6:7" x14ac:dyDescent="0.3">
      <c r="F78" s="23"/>
      <c r="G78" s="25"/>
    </row>
    <row r="79" spans="6:7" x14ac:dyDescent="0.3">
      <c r="F79" s="23"/>
      <c r="G79" s="25"/>
    </row>
    <row r="80" spans="6:7" x14ac:dyDescent="0.3">
      <c r="F80" s="23"/>
      <c r="G80" s="25"/>
    </row>
    <row r="81" spans="6:7" x14ac:dyDescent="0.3">
      <c r="F81" s="23"/>
      <c r="G81" s="25"/>
    </row>
    <row r="82" spans="6:7" x14ac:dyDescent="0.3">
      <c r="F82" s="23"/>
      <c r="G82" s="25"/>
    </row>
    <row r="83" spans="6:7" x14ac:dyDescent="0.3">
      <c r="F83" s="23"/>
      <c r="G83" s="25"/>
    </row>
    <row r="84" spans="6:7" x14ac:dyDescent="0.3">
      <c r="F84" s="23"/>
      <c r="G84" s="25"/>
    </row>
    <row r="85" spans="6:7" x14ac:dyDescent="0.3">
      <c r="F85" s="23"/>
      <c r="G85" s="25"/>
    </row>
    <row r="86" spans="6:7" x14ac:dyDescent="0.3">
      <c r="F86" s="23"/>
      <c r="G86" s="25"/>
    </row>
    <row r="87" spans="6:7" x14ac:dyDescent="0.3">
      <c r="F87" s="23"/>
      <c r="G87" s="25"/>
    </row>
    <row r="88" spans="6:7" x14ac:dyDescent="0.3">
      <c r="F88" s="23"/>
      <c r="G88" s="25"/>
    </row>
    <row r="89" spans="6:7" x14ac:dyDescent="0.3">
      <c r="F89" s="23"/>
      <c r="G89" s="25"/>
    </row>
    <row r="90" spans="6:7" x14ac:dyDescent="0.3">
      <c r="F90" s="23"/>
      <c r="G90" s="25"/>
    </row>
    <row r="91" spans="6:7" x14ac:dyDescent="0.3">
      <c r="F91" s="23"/>
      <c r="G91" s="25"/>
    </row>
    <row r="92" spans="6:7" x14ac:dyDescent="0.3">
      <c r="F92" s="23"/>
      <c r="G92" s="25"/>
    </row>
    <row r="93" spans="6:7" x14ac:dyDescent="0.3">
      <c r="F93" s="23"/>
      <c r="G93" s="25"/>
    </row>
    <row r="94" spans="6:7" x14ac:dyDescent="0.3">
      <c r="F94" s="23"/>
      <c r="G94" s="25"/>
    </row>
    <row r="95" spans="6:7" x14ac:dyDescent="0.3">
      <c r="F95" s="23"/>
      <c r="G95" s="25"/>
    </row>
    <row r="96" spans="6:7" x14ac:dyDescent="0.3">
      <c r="F96" s="23"/>
      <c r="G96" s="25"/>
    </row>
    <row r="97" spans="6:7" x14ac:dyDescent="0.3">
      <c r="F97" s="23"/>
      <c r="G97" s="25"/>
    </row>
    <row r="98" spans="6:7" x14ac:dyDescent="0.3">
      <c r="F98" s="23"/>
      <c r="G98" s="25"/>
    </row>
    <row r="99" spans="6:7" x14ac:dyDescent="0.3">
      <c r="F99" s="23"/>
      <c r="G99" s="25"/>
    </row>
    <row r="100" spans="6:7" x14ac:dyDescent="0.3">
      <c r="F100" s="23"/>
      <c r="G100" s="25"/>
    </row>
    <row r="101" spans="6:7" x14ac:dyDescent="0.3">
      <c r="F101" s="23"/>
      <c r="G101" s="25"/>
    </row>
    <row r="102" spans="6:7" x14ac:dyDescent="0.3">
      <c r="F102" s="23"/>
      <c r="G102" s="25"/>
    </row>
    <row r="103" spans="6:7" x14ac:dyDescent="0.3">
      <c r="F103" s="23"/>
      <c r="G103" s="25"/>
    </row>
    <row r="104" spans="6:7" x14ac:dyDescent="0.3">
      <c r="F104" s="23"/>
      <c r="G104" s="25"/>
    </row>
    <row r="105" spans="6:7" x14ac:dyDescent="0.3">
      <c r="F105" s="23"/>
      <c r="G105" s="25"/>
    </row>
    <row r="106" spans="6:7" x14ac:dyDescent="0.3">
      <c r="F106" s="23"/>
      <c r="G106" s="25"/>
    </row>
    <row r="107" spans="6:7" x14ac:dyDescent="0.3">
      <c r="F107" s="23"/>
      <c r="G107" s="25"/>
    </row>
    <row r="108" spans="6:7" x14ac:dyDescent="0.3">
      <c r="F108" s="23"/>
      <c r="G108" s="25"/>
    </row>
    <row r="109" spans="6:7" x14ac:dyDescent="0.3">
      <c r="F109" s="23"/>
      <c r="G109" s="25"/>
    </row>
    <row r="110" spans="6:7" x14ac:dyDescent="0.3">
      <c r="F110" s="23"/>
      <c r="G110" s="25"/>
    </row>
    <row r="111" spans="6:7" x14ac:dyDescent="0.3">
      <c r="F111" s="23"/>
      <c r="G111" s="25"/>
    </row>
    <row r="112" spans="6:7" x14ac:dyDescent="0.3">
      <c r="F112" s="23"/>
      <c r="G112" s="25"/>
    </row>
    <row r="113" spans="6:7" x14ac:dyDescent="0.3">
      <c r="F113" s="23"/>
      <c r="G113" s="25"/>
    </row>
    <row r="114" spans="6:7" x14ac:dyDescent="0.3">
      <c r="F114" s="23"/>
      <c r="G114" s="25"/>
    </row>
    <row r="115" spans="6:7" x14ac:dyDescent="0.3">
      <c r="F115" s="23"/>
      <c r="G115" s="25"/>
    </row>
    <row r="116" spans="6:7" x14ac:dyDescent="0.3">
      <c r="F116" s="23"/>
      <c r="G116" s="25"/>
    </row>
    <row r="117" spans="6:7" x14ac:dyDescent="0.3">
      <c r="F117" s="23"/>
      <c r="G117" s="25"/>
    </row>
    <row r="118" spans="6:7" x14ac:dyDescent="0.3">
      <c r="F118" s="23"/>
      <c r="G118" s="25"/>
    </row>
    <row r="119" spans="6:7" x14ac:dyDescent="0.3">
      <c r="F119" s="23"/>
      <c r="G119" s="25"/>
    </row>
    <row r="120" spans="6:7" x14ac:dyDescent="0.3">
      <c r="F120" s="23"/>
      <c r="G120" s="25"/>
    </row>
    <row r="121" spans="6:7" x14ac:dyDescent="0.3">
      <c r="F121" s="23"/>
      <c r="G121" s="25"/>
    </row>
    <row r="122" spans="6:7" x14ac:dyDescent="0.3">
      <c r="F122" s="23"/>
      <c r="G122" s="25"/>
    </row>
    <row r="123" spans="6:7" x14ac:dyDescent="0.3">
      <c r="F123" s="23"/>
      <c r="G123" s="25"/>
    </row>
    <row r="124" spans="6:7" x14ac:dyDescent="0.3">
      <c r="F124" s="23"/>
      <c r="G124" s="25"/>
    </row>
    <row r="125" spans="6:7" x14ac:dyDescent="0.3">
      <c r="F125" s="23"/>
      <c r="G125" s="25"/>
    </row>
    <row r="126" spans="6:7" x14ac:dyDescent="0.3">
      <c r="F126" s="23"/>
      <c r="G126" s="25"/>
    </row>
    <row r="127" spans="6:7" x14ac:dyDescent="0.3">
      <c r="F127" s="23"/>
      <c r="G127" s="25"/>
    </row>
    <row r="128" spans="6:7" x14ac:dyDescent="0.3">
      <c r="F128" s="23"/>
      <c r="G128" s="25"/>
    </row>
    <row r="129" spans="6:7" x14ac:dyDescent="0.3">
      <c r="F129" s="23"/>
      <c r="G129" s="25"/>
    </row>
    <row r="130" spans="6:7" x14ac:dyDescent="0.3">
      <c r="F130" s="23"/>
      <c r="G130" s="25"/>
    </row>
    <row r="131" spans="6:7" x14ac:dyDescent="0.3">
      <c r="F131" s="23"/>
      <c r="G131" s="25"/>
    </row>
    <row r="132" spans="6:7" x14ac:dyDescent="0.3">
      <c r="F132" s="23"/>
      <c r="G132" s="25"/>
    </row>
    <row r="133" spans="6:7" x14ac:dyDescent="0.3">
      <c r="F133" s="23"/>
      <c r="G133" s="25"/>
    </row>
    <row r="134" spans="6:7" x14ac:dyDescent="0.3">
      <c r="F134" s="23"/>
      <c r="G134" s="25"/>
    </row>
    <row r="135" spans="6:7" x14ac:dyDescent="0.3">
      <c r="F135" s="23"/>
      <c r="G135" s="25"/>
    </row>
    <row r="136" spans="6:7" x14ac:dyDescent="0.3">
      <c r="F136" s="23"/>
      <c r="G136" s="25"/>
    </row>
    <row r="137" spans="6:7" x14ac:dyDescent="0.3">
      <c r="F137" s="23"/>
      <c r="G137" s="25"/>
    </row>
    <row r="138" spans="6:7" x14ac:dyDescent="0.3">
      <c r="F138" s="23"/>
      <c r="G138" s="25"/>
    </row>
    <row r="139" spans="6:7" x14ac:dyDescent="0.3">
      <c r="F139" s="23"/>
      <c r="G139" s="25"/>
    </row>
    <row r="140" spans="6:7" x14ac:dyDescent="0.3">
      <c r="F140" s="23"/>
      <c r="G140" s="25"/>
    </row>
    <row r="141" spans="6:7" x14ac:dyDescent="0.3">
      <c r="F141" s="23"/>
      <c r="G141" s="25"/>
    </row>
    <row r="142" spans="6:7" x14ac:dyDescent="0.3">
      <c r="F142" s="23"/>
      <c r="G142" s="25"/>
    </row>
    <row r="143" spans="6:7" x14ac:dyDescent="0.3">
      <c r="F143" s="23"/>
      <c r="G143" s="25"/>
    </row>
    <row r="144" spans="6:7" x14ac:dyDescent="0.3">
      <c r="F144" s="23"/>
      <c r="G144" s="25"/>
    </row>
    <row r="145" spans="6:7" x14ac:dyDescent="0.3">
      <c r="F145" s="23"/>
      <c r="G145" s="25"/>
    </row>
    <row r="146" spans="6:7" x14ac:dyDescent="0.3">
      <c r="F146" s="23"/>
      <c r="G146" s="25"/>
    </row>
    <row r="147" spans="6:7" x14ac:dyDescent="0.3">
      <c r="F147" s="23"/>
      <c r="G147" s="25"/>
    </row>
    <row r="148" spans="6:7" x14ac:dyDescent="0.3">
      <c r="F148" s="23"/>
      <c r="G148" s="25"/>
    </row>
    <row r="149" spans="6:7" x14ac:dyDescent="0.3">
      <c r="F149" s="23"/>
      <c r="G149" s="25"/>
    </row>
    <row r="150" spans="6:7" x14ac:dyDescent="0.3">
      <c r="F150" s="23"/>
      <c r="G150" s="25"/>
    </row>
    <row r="151" spans="6:7" x14ac:dyDescent="0.3">
      <c r="F151" s="23"/>
      <c r="G151" s="25"/>
    </row>
    <row r="152" spans="6:7" x14ac:dyDescent="0.3">
      <c r="F152" s="23"/>
      <c r="G152" s="25"/>
    </row>
    <row r="153" spans="6:7" x14ac:dyDescent="0.3">
      <c r="F153" s="23"/>
      <c r="G153" s="25"/>
    </row>
    <row r="154" spans="6:7" x14ac:dyDescent="0.3">
      <c r="F154" s="23"/>
      <c r="G154" s="25"/>
    </row>
    <row r="155" spans="6:7" x14ac:dyDescent="0.3">
      <c r="F155" s="23"/>
      <c r="G155" s="25"/>
    </row>
    <row r="156" spans="6:7" x14ac:dyDescent="0.3">
      <c r="F156" s="23"/>
      <c r="G156" s="25"/>
    </row>
    <row r="157" spans="6:7" x14ac:dyDescent="0.3">
      <c r="F157" s="23"/>
      <c r="G157" s="25"/>
    </row>
    <row r="158" spans="6:7" x14ac:dyDescent="0.3">
      <c r="F158" s="23"/>
      <c r="G158" s="25"/>
    </row>
    <row r="159" spans="6:7" x14ac:dyDescent="0.3">
      <c r="F159" s="23"/>
      <c r="G159" s="25"/>
    </row>
    <row r="160" spans="6:7" x14ac:dyDescent="0.3">
      <c r="F160" s="23"/>
      <c r="G160" s="25"/>
    </row>
    <row r="161" spans="6:7" x14ac:dyDescent="0.3">
      <c r="F161" s="23"/>
      <c r="G161" s="25"/>
    </row>
    <row r="162" spans="6:7" x14ac:dyDescent="0.3">
      <c r="F162" s="23"/>
      <c r="G162" s="25"/>
    </row>
    <row r="163" spans="6:7" x14ac:dyDescent="0.3">
      <c r="F163" s="23"/>
      <c r="G163" s="25"/>
    </row>
    <row r="164" spans="6:7" x14ac:dyDescent="0.3">
      <c r="F164" s="23"/>
      <c r="G164" s="25"/>
    </row>
    <row r="165" spans="6:7" x14ac:dyDescent="0.3">
      <c r="F165" s="23"/>
      <c r="G165" s="25"/>
    </row>
    <row r="166" spans="6:7" x14ac:dyDescent="0.3">
      <c r="F166" s="23"/>
      <c r="G166" s="25"/>
    </row>
    <row r="167" spans="6:7" x14ac:dyDescent="0.3">
      <c r="F167" s="23"/>
      <c r="G167" s="25"/>
    </row>
    <row r="168" spans="6:7" x14ac:dyDescent="0.3">
      <c r="F168" s="23"/>
      <c r="G168" s="25"/>
    </row>
    <row r="169" spans="6:7" x14ac:dyDescent="0.3">
      <c r="F169" s="23"/>
      <c r="G169" s="25"/>
    </row>
    <row r="170" spans="6:7" x14ac:dyDescent="0.3">
      <c r="F170" s="23"/>
      <c r="G170" s="25"/>
    </row>
    <row r="171" spans="6:7" x14ac:dyDescent="0.3">
      <c r="F171" s="23"/>
      <c r="G171" s="25"/>
    </row>
    <row r="172" spans="6:7" x14ac:dyDescent="0.3">
      <c r="F172" s="23"/>
      <c r="G172" s="25"/>
    </row>
    <row r="173" spans="6:7" x14ac:dyDescent="0.3">
      <c r="F173" s="23"/>
      <c r="G173" s="25"/>
    </row>
    <row r="174" spans="6:7" x14ac:dyDescent="0.3">
      <c r="F174" s="23"/>
      <c r="G174" s="25"/>
    </row>
    <row r="175" spans="6:7" x14ac:dyDescent="0.3">
      <c r="F175" s="23"/>
      <c r="G175" s="25"/>
    </row>
    <row r="176" spans="6:7" x14ac:dyDescent="0.3">
      <c r="F176" s="23"/>
      <c r="G176" s="25"/>
    </row>
    <row r="177" spans="6:7" x14ac:dyDescent="0.3">
      <c r="F177" s="23"/>
      <c r="G177" s="25"/>
    </row>
    <row r="178" spans="6:7" x14ac:dyDescent="0.3">
      <c r="F178" s="23"/>
      <c r="G178" s="25"/>
    </row>
    <row r="179" spans="6:7" x14ac:dyDescent="0.3">
      <c r="F179" s="23"/>
      <c r="G179" s="25"/>
    </row>
    <row r="180" spans="6:7" x14ac:dyDescent="0.3">
      <c r="F180" s="23"/>
      <c r="G180" s="25"/>
    </row>
    <row r="181" spans="6:7" x14ac:dyDescent="0.3">
      <c r="F181" s="23"/>
      <c r="G181" s="25"/>
    </row>
    <row r="182" spans="6:7" x14ac:dyDescent="0.3">
      <c r="F182" s="23"/>
      <c r="G182" s="25"/>
    </row>
    <row r="183" spans="6:7" x14ac:dyDescent="0.3">
      <c r="F183" s="23"/>
      <c r="G183" s="25"/>
    </row>
    <row r="184" spans="6:7" x14ac:dyDescent="0.3">
      <c r="F184" s="23"/>
      <c r="G184" s="25"/>
    </row>
    <row r="185" spans="6:7" x14ac:dyDescent="0.3">
      <c r="F185" s="23"/>
      <c r="G185" s="25"/>
    </row>
    <row r="186" spans="6:7" x14ac:dyDescent="0.3">
      <c r="F186" s="23"/>
      <c r="G186" s="25"/>
    </row>
    <row r="187" spans="6:7" x14ac:dyDescent="0.3">
      <c r="F187" s="23"/>
      <c r="G187" s="25"/>
    </row>
    <row r="188" spans="6:7" x14ac:dyDescent="0.3">
      <c r="F188" s="23"/>
      <c r="G188" s="25"/>
    </row>
    <row r="189" spans="6:7" x14ac:dyDescent="0.3">
      <c r="F189" s="23"/>
      <c r="G189" s="25"/>
    </row>
    <row r="190" spans="6:7" x14ac:dyDescent="0.3">
      <c r="F190" s="23"/>
      <c r="G190" s="25"/>
    </row>
    <row r="191" spans="6:7" x14ac:dyDescent="0.3">
      <c r="F191" s="23"/>
      <c r="G191" s="25"/>
    </row>
    <row r="192" spans="6:7" x14ac:dyDescent="0.3">
      <c r="F192" s="23"/>
      <c r="G192" s="25"/>
    </row>
    <row r="193" spans="6:7" x14ac:dyDescent="0.3">
      <c r="F193" s="23"/>
      <c r="G193" s="25"/>
    </row>
    <row r="194" spans="6:7" x14ac:dyDescent="0.3">
      <c r="F194" s="23"/>
      <c r="G194" s="25"/>
    </row>
    <row r="195" spans="6:7" x14ac:dyDescent="0.3">
      <c r="F195" s="23"/>
      <c r="G195" s="25"/>
    </row>
    <row r="196" spans="6:7" x14ac:dyDescent="0.3">
      <c r="F196" s="23"/>
      <c r="G196" s="25"/>
    </row>
    <row r="197" spans="6:7" x14ac:dyDescent="0.3">
      <c r="F197" s="23"/>
      <c r="G197" s="25"/>
    </row>
    <row r="198" spans="6:7" x14ac:dyDescent="0.3">
      <c r="F198" s="23"/>
      <c r="G198" s="25"/>
    </row>
    <row r="199" spans="6:7" x14ac:dyDescent="0.3">
      <c r="F199" s="23"/>
      <c r="G199" s="25"/>
    </row>
    <row r="200" spans="6:7" x14ac:dyDescent="0.3">
      <c r="F200" s="23"/>
      <c r="G200" s="25"/>
    </row>
    <row r="201" spans="6:7" x14ac:dyDescent="0.3">
      <c r="F201" s="23"/>
      <c r="G201" s="25"/>
    </row>
    <row r="202" spans="6:7" x14ac:dyDescent="0.3">
      <c r="F202" s="23"/>
      <c r="G202" s="25"/>
    </row>
    <row r="203" spans="6:7" x14ac:dyDescent="0.3">
      <c r="F203" s="23"/>
      <c r="G203" s="25"/>
    </row>
    <row r="204" spans="6:7" x14ac:dyDescent="0.3">
      <c r="F204" s="23"/>
      <c r="G204" s="25"/>
    </row>
    <row r="205" spans="6:7" x14ac:dyDescent="0.3">
      <c r="F205" s="23"/>
      <c r="G205" s="25"/>
    </row>
    <row r="206" spans="6:7" x14ac:dyDescent="0.3">
      <c r="F206" s="23"/>
      <c r="G206" s="25"/>
    </row>
    <row r="207" spans="6:7" x14ac:dyDescent="0.3">
      <c r="F207" s="23"/>
      <c r="G207" s="25"/>
    </row>
    <row r="208" spans="6:7" x14ac:dyDescent="0.3">
      <c r="F208" s="23"/>
      <c r="G208" s="25"/>
    </row>
    <row r="209" spans="6:7" x14ac:dyDescent="0.3">
      <c r="F209" s="23"/>
      <c r="G209" s="25"/>
    </row>
    <row r="210" spans="6:7" x14ac:dyDescent="0.3">
      <c r="F210" s="23"/>
      <c r="G210" s="25"/>
    </row>
    <row r="211" spans="6:7" x14ac:dyDescent="0.3">
      <c r="F211" s="23"/>
      <c r="G211" s="25"/>
    </row>
    <row r="212" spans="6:7" x14ac:dyDescent="0.3">
      <c r="F212" s="23"/>
      <c r="G212" s="25"/>
    </row>
    <row r="213" spans="6:7" x14ac:dyDescent="0.3">
      <c r="F213" s="23"/>
      <c r="G213" s="25"/>
    </row>
    <row r="214" spans="6:7" x14ac:dyDescent="0.3">
      <c r="F214" s="23"/>
      <c r="G214" s="25"/>
    </row>
    <row r="215" spans="6:7" x14ac:dyDescent="0.3">
      <c r="F215" s="23"/>
      <c r="G215" s="25"/>
    </row>
    <row r="216" spans="6:7" x14ac:dyDescent="0.3">
      <c r="F216" s="23"/>
      <c r="G216" s="25"/>
    </row>
    <row r="217" spans="6:7" x14ac:dyDescent="0.3">
      <c r="F217" s="23"/>
      <c r="G217" s="25"/>
    </row>
    <row r="218" spans="6:7" x14ac:dyDescent="0.3">
      <c r="F218" s="23"/>
      <c r="G218" s="25"/>
    </row>
    <row r="219" spans="6:7" x14ac:dyDescent="0.3">
      <c r="F219" s="23"/>
      <c r="G219" s="25"/>
    </row>
    <row r="220" spans="6:7" x14ac:dyDescent="0.3">
      <c r="F220" s="23"/>
      <c r="G220" s="25"/>
    </row>
    <row r="221" spans="6:7" x14ac:dyDescent="0.3">
      <c r="F221" s="23"/>
      <c r="G221" s="25"/>
    </row>
    <row r="222" spans="6:7" x14ac:dyDescent="0.3">
      <c r="F222" s="23"/>
      <c r="G222" s="25"/>
    </row>
    <row r="223" spans="6:7" x14ac:dyDescent="0.3">
      <c r="F223" s="23"/>
      <c r="G223" s="25"/>
    </row>
    <row r="224" spans="6:7" x14ac:dyDescent="0.3">
      <c r="F224" s="23"/>
      <c r="G224" s="25"/>
    </row>
    <row r="225" spans="6:7" x14ac:dyDescent="0.3">
      <c r="F225" s="23"/>
      <c r="G225" s="25"/>
    </row>
    <row r="226" spans="6:7" x14ac:dyDescent="0.3">
      <c r="F226" s="23"/>
      <c r="G226" s="25"/>
    </row>
    <row r="227" spans="6:7" x14ac:dyDescent="0.3">
      <c r="F227" s="23"/>
      <c r="G227" s="25"/>
    </row>
    <row r="228" spans="6:7" x14ac:dyDescent="0.3">
      <c r="F228" s="23"/>
      <c r="G228" s="25"/>
    </row>
    <row r="229" spans="6:7" x14ac:dyDescent="0.3">
      <c r="F229" s="23"/>
      <c r="G229" s="25"/>
    </row>
    <row r="230" spans="6:7" x14ac:dyDescent="0.3">
      <c r="F230" s="23"/>
      <c r="G230" s="25"/>
    </row>
    <row r="231" spans="6:7" x14ac:dyDescent="0.3">
      <c r="F231" s="23"/>
      <c r="G231" s="25"/>
    </row>
    <row r="232" spans="6:7" x14ac:dyDescent="0.3">
      <c r="F232" s="23"/>
      <c r="G232" s="25"/>
    </row>
    <row r="233" spans="6:7" x14ac:dyDescent="0.3">
      <c r="F233" s="23"/>
      <c r="G233" s="25"/>
    </row>
    <row r="234" spans="6:7" x14ac:dyDescent="0.3">
      <c r="F234" s="23"/>
      <c r="G234" s="25"/>
    </row>
    <row r="235" spans="6:7" x14ac:dyDescent="0.3">
      <c r="F235" s="23"/>
      <c r="G235" s="25"/>
    </row>
    <row r="236" spans="6:7" x14ac:dyDescent="0.3">
      <c r="F236" s="23"/>
      <c r="G236" s="25"/>
    </row>
    <row r="237" spans="6:7" x14ac:dyDescent="0.3">
      <c r="F237" s="23"/>
      <c r="G237" s="25"/>
    </row>
    <row r="238" spans="6:7" x14ac:dyDescent="0.3">
      <c r="F238" s="23"/>
      <c r="G238" s="25"/>
    </row>
    <row r="239" spans="6:7" x14ac:dyDescent="0.3">
      <c r="F239" s="23"/>
      <c r="G239" s="25"/>
    </row>
    <row r="240" spans="6:7" x14ac:dyDescent="0.3">
      <c r="F240" s="23"/>
      <c r="G240" s="25"/>
    </row>
    <row r="241" spans="6:7" x14ac:dyDescent="0.3">
      <c r="F241" s="23"/>
      <c r="G241" s="25"/>
    </row>
    <row r="242" spans="6:7" x14ac:dyDescent="0.3">
      <c r="F242" s="23"/>
      <c r="G242" s="25"/>
    </row>
    <row r="243" spans="6:7" x14ac:dyDescent="0.3">
      <c r="F243" s="23"/>
      <c r="G243" s="25"/>
    </row>
    <row r="244" spans="6:7" x14ac:dyDescent="0.3">
      <c r="F244" s="23"/>
      <c r="G244" s="25"/>
    </row>
    <row r="245" spans="6:7" x14ac:dyDescent="0.3">
      <c r="F245" s="23"/>
      <c r="G245" s="25"/>
    </row>
    <row r="246" spans="6:7" x14ac:dyDescent="0.3">
      <c r="F246" s="23"/>
      <c r="G246" s="25"/>
    </row>
    <row r="247" spans="6:7" x14ac:dyDescent="0.3">
      <c r="F247" s="23"/>
      <c r="G247" s="25"/>
    </row>
    <row r="248" spans="6:7" x14ac:dyDescent="0.3">
      <c r="F248" s="23"/>
      <c r="G248" s="25"/>
    </row>
    <row r="249" spans="6:7" x14ac:dyDescent="0.3">
      <c r="F249" s="23"/>
      <c r="G249" s="25"/>
    </row>
    <row r="250" spans="6:7" x14ac:dyDescent="0.3">
      <c r="F250" s="23"/>
      <c r="G250" s="25"/>
    </row>
    <row r="251" spans="6:7" x14ac:dyDescent="0.3">
      <c r="F251" s="23"/>
      <c r="G251" s="25"/>
    </row>
    <row r="252" spans="6:7" x14ac:dyDescent="0.3">
      <c r="F252" s="23"/>
      <c r="G252" s="25"/>
    </row>
    <row r="253" spans="6:7" x14ac:dyDescent="0.3">
      <c r="F253" s="23"/>
      <c r="G253" s="25"/>
    </row>
    <row r="254" spans="6:7" x14ac:dyDescent="0.3">
      <c r="F254" s="23"/>
      <c r="G254" s="25"/>
    </row>
    <row r="255" spans="6:7" x14ac:dyDescent="0.3">
      <c r="F255" s="23"/>
      <c r="G255" s="25"/>
    </row>
    <row r="256" spans="6:7" x14ac:dyDescent="0.3">
      <c r="F256" s="23"/>
      <c r="G256" s="25"/>
    </row>
    <row r="257" spans="6:7" x14ac:dyDescent="0.3">
      <c r="F257" s="23"/>
      <c r="G257" s="25"/>
    </row>
    <row r="258" spans="6:7" x14ac:dyDescent="0.3">
      <c r="F258" s="23"/>
      <c r="G258" s="25"/>
    </row>
    <row r="259" spans="6:7" x14ac:dyDescent="0.3">
      <c r="F259" s="23"/>
      <c r="G259" s="25"/>
    </row>
    <row r="260" spans="6:7" x14ac:dyDescent="0.3">
      <c r="F260" s="23"/>
      <c r="G260" s="25"/>
    </row>
    <row r="261" spans="6:7" x14ac:dyDescent="0.3">
      <c r="F261" s="23"/>
      <c r="G261" s="25"/>
    </row>
    <row r="262" spans="6:7" x14ac:dyDescent="0.3">
      <c r="F262" s="23"/>
      <c r="G262" s="25"/>
    </row>
    <row r="263" spans="6:7" x14ac:dyDescent="0.3">
      <c r="F263" s="23"/>
      <c r="G263" s="25"/>
    </row>
    <row r="264" spans="6:7" x14ac:dyDescent="0.3">
      <c r="F264" s="23"/>
      <c r="G264" s="25"/>
    </row>
    <row r="265" spans="6:7" x14ac:dyDescent="0.3">
      <c r="F265" s="23"/>
      <c r="G265" s="25"/>
    </row>
    <row r="266" spans="6:7" x14ac:dyDescent="0.3">
      <c r="F266" s="23"/>
      <c r="G266" s="25"/>
    </row>
    <row r="267" spans="6:7" x14ac:dyDescent="0.3">
      <c r="F267" s="23"/>
      <c r="G267" s="25"/>
    </row>
    <row r="268" spans="6:7" x14ac:dyDescent="0.3">
      <c r="F268" s="23"/>
      <c r="G268" s="25"/>
    </row>
    <row r="269" spans="6:7" x14ac:dyDescent="0.3">
      <c r="F269" s="23"/>
      <c r="G269" s="25"/>
    </row>
    <row r="270" spans="6:7" x14ac:dyDescent="0.3">
      <c r="F270" s="23"/>
      <c r="G270" s="25"/>
    </row>
    <row r="271" spans="6:7" x14ac:dyDescent="0.3">
      <c r="F271" s="23"/>
      <c r="G271" s="25"/>
    </row>
    <row r="272" spans="6:7" x14ac:dyDescent="0.3">
      <c r="F272" s="23"/>
      <c r="G272" s="25"/>
    </row>
    <row r="273" spans="6:7" x14ac:dyDescent="0.3">
      <c r="F273" s="23"/>
      <c r="G273" s="25"/>
    </row>
    <row r="274" spans="6:7" x14ac:dyDescent="0.3">
      <c r="F274" s="23"/>
      <c r="G274" s="25"/>
    </row>
    <row r="275" spans="6:7" x14ac:dyDescent="0.3">
      <c r="F275" s="23"/>
      <c r="G275" s="25"/>
    </row>
    <row r="276" spans="6:7" x14ac:dyDescent="0.3">
      <c r="F276" s="23"/>
      <c r="G276" s="25"/>
    </row>
    <row r="277" spans="6:7" x14ac:dyDescent="0.3">
      <c r="F277" s="23"/>
      <c r="G277" s="25"/>
    </row>
    <row r="278" spans="6:7" x14ac:dyDescent="0.3">
      <c r="F278" s="23"/>
      <c r="G278" s="25"/>
    </row>
    <row r="279" spans="6:7" x14ac:dyDescent="0.3">
      <c r="F279" s="23"/>
      <c r="G279" s="25"/>
    </row>
    <row r="280" spans="6:7" x14ac:dyDescent="0.3">
      <c r="F280" s="23"/>
      <c r="G280" s="25"/>
    </row>
    <row r="281" spans="6:7" x14ac:dyDescent="0.3">
      <c r="F281" s="23"/>
      <c r="G281" s="25"/>
    </row>
    <row r="282" spans="6:7" x14ac:dyDescent="0.3">
      <c r="F282" s="23"/>
      <c r="G282" s="25"/>
    </row>
    <row r="283" spans="6:7" x14ac:dyDescent="0.3">
      <c r="F283" s="23"/>
      <c r="G283" s="25"/>
    </row>
    <row r="284" spans="6:7" x14ac:dyDescent="0.3">
      <c r="F284" s="23"/>
      <c r="G284" s="25"/>
    </row>
    <row r="285" spans="6:7" x14ac:dyDescent="0.3">
      <c r="F285" s="23"/>
      <c r="G285" s="25"/>
    </row>
    <row r="286" spans="6:7" x14ac:dyDescent="0.3">
      <c r="F286" s="23"/>
      <c r="G286" s="25"/>
    </row>
    <row r="287" spans="6:7" x14ac:dyDescent="0.3">
      <c r="F287" s="23"/>
      <c r="G287" s="25"/>
    </row>
    <row r="288" spans="6:7" x14ac:dyDescent="0.3">
      <c r="F288" s="23"/>
      <c r="G288" s="25"/>
    </row>
    <row r="289" spans="6:7" x14ac:dyDescent="0.3">
      <c r="F289" s="23"/>
      <c r="G289" s="25"/>
    </row>
    <row r="290" spans="6:7" x14ac:dyDescent="0.3">
      <c r="F290" s="23"/>
      <c r="G290" s="25"/>
    </row>
    <row r="291" spans="6:7" x14ac:dyDescent="0.3">
      <c r="F291" s="23"/>
      <c r="G291" s="25"/>
    </row>
    <row r="292" spans="6:7" x14ac:dyDescent="0.3">
      <c r="F292" s="23"/>
      <c r="G292" s="25"/>
    </row>
    <row r="293" spans="6:7" x14ac:dyDescent="0.3">
      <c r="F293" s="23"/>
      <c r="G293" s="25"/>
    </row>
    <row r="294" spans="6:7" x14ac:dyDescent="0.3">
      <c r="F294" s="23"/>
      <c r="G294" s="25"/>
    </row>
    <row r="295" spans="6:7" x14ac:dyDescent="0.3">
      <c r="F295" s="23"/>
      <c r="G295" s="25"/>
    </row>
    <row r="296" spans="6:7" x14ac:dyDescent="0.3">
      <c r="F296" s="23"/>
      <c r="G296" s="25"/>
    </row>
    <row r="297" spans="6:7" x14ac:dyDescent="0.3">
      <c r="F297" s="23"/>
      <c r="G297" s="25"/>
    </row>
    <row r="298" spans="6:7" x14ac:dyDescent="0.3">
      <c r="F298" s="23"/>
      <c r="G298" s="25"/>
    </row>
    <row r="299" spans="6:7" x14ac:dyDescent="0.3">
      <c r="F299" s="23"/>
      <c r="G299" s="25"/>
    </row>
    <row r="300" spans="6:7" x14ac:dyDescent="0.3">
      <c r="F300" s="23"/>
      <c r="G300" s="25"/>
    </row>
    <row r="301" spans="6:7" x14ac:dyDescent="0.3">
      <c r="F301" s="23"/>
      <c r="G301" s="25"/>
    </row>
    <row r="302" spans="6:7" x14ac:dyDescent="0.3">
      <c r="F302" s="23"/>
      <c r="G302" s="25"/>
    </row>
    <row r="303" spans="6:7" x14ac:dyDescent="0.3">
      <c r="F303" s="23"/>
      <c r="G303" s="25"/>
    </row>
    <row r="304" spans="6:7" x14ac:dyDescent="0.3">
      <c r="F304" s="23"/>
      <c r="G304" s="25"/>
    </row>
    <row r="305" spans="6:7" x14ac:dyDescent="0.3">
      <c r="F305" s="23"/>
      <c r="G305" s="25"/>
    </row>
    <row r="306" spans="6:7" x14ac:dyDescent="0.3">
      <c r="F306" s="23"/>
      <c r="G306" s="25"/>
    </row>
    <row r="307" spans="6:7" x14ac:dyDescent="0.3">
      <c r="F307" s="23"/>
      <c r="G307" s="25"/>
    </row>
    <row r="308" spans="6:7" x14ac:dyDescent="0.3">
      <c r="F308" s="23"/>
      <c r="G308" s="25"/>
    </row>
    <row r="309" spans="6:7" x14ac:dyDescent="0.3">
      <c r="F309" s="23"/>
      <c r="G309" s="25"/>
    </row>
    <row r="310" spans="6:7" x14ac:dyDescent="0.3">
      <c r="F310" s="23"/>
      <c r="G310" s="25"/>
    </row>
    <row r="311" spans="6:7" x14ac:dyDescent="0.3">
      <c r="F311" s="23"/>
      <c r="G311" s="25"/>
    </row>
    <row r="312" spans="6:7" x14ac:dyDescent="0.3">
      <c r="F312" s="23"/>
      <c r="G312" s="25"/>
    </row>
    <row r="313" spans="6:7" x14ac:dyDescent="0.3">
      <c r="F313" s="23"/>
      <c r="G313" s="25"/>
    </row>
    <row r="314" spans="6:7" x14ac:dyDescent="0.3">
      <c r="F314" s="23"/>
      <c r="G314" s="25"/>
    </row>
    <row r="315" spans="6:7" x14ac:dyDescent="0.3">
      <c r="F315" s="23"/>
      <c r="G315" s="25"/>
    </row>
    <row r="316" spans="6:7" x14ac:dyDescent="0.3">
      <c r="F316" s="23"/>
      <c r="G316" s="25"/>
    </row>
    <row r="317" spans="6:7" x14ac:dyDescent="0.3">
      <c r="F317" s="23"/>
      <c r="G317" s="25"/>
    </row>
    <row r="318" spans="6:7" x14ac:dyDescent="0.3">
      <c r="F318" s="23"/>
      <c r="G318" s="25"/>
    </row>
    <row r="319" spans="6:7" x14ac:dyDescent="0.3">
      <c r="F319" s="23"/>
      <c r="G319" s="25"/>
    </row>
    <row r="320" spans="6:7" x14ac:dyDescent="0.3">
      <c r="F320" s="23"/>
      <c r="G320" s="25"/>
    </row>
    <row r="321" spans="6:7" x14ac:dyDescent="0.3">
      <c r="F321" s="23"/>
      <c r="G321" s="25"/>
    </row>
    <row r="322" spans="6:7" x14ac:dyDescent="0.3">
      <c r="F322" s="23"/>
      <c r="G322" s="25"/>
    </row>
    <row r="323" spans="6:7" x14ac:dyDescent="0.3">
      <c r="F323" s="23"/>
      <c r="G323" s="25"/>
    </row>
    <row r="324" spans="6:7" x14ac:dyDescent="0.3">
      <c r="F324" s="23"/>
      <c r="G324" s="25"/>
    </row>
    <row r="325" spans="6:7" x14ac:dyDescent="0.3">
      <c r="F325" s="23"/>
      <c r="G325" s="25"/>
    </row>
    <row r="326" spans="6:7" x14ac:dyDescent="0.3">
      <c r="F326" s="23"/>
      <c r="G326" s="25"/>
    </row>
    <row r="327" spans="6:7" x14ac:dyDescent="0.3">
      <c r="F327" s="23"/>
      <c r="G327" s="25"/>
    </row>
    <row r="328" spans="6:7" x14ac:dyDescent="0.3">
      <c r="F328" s="23"/>
      <c r="G328" s="25"/>
    </row>
    <row r="329" spans="6:7" x14ac:dyDescent="0.3">
      <c r="F329" s="23"/>
      <c r="G329" s="25"/>
    </row>
    <row r="330" spans="6:7" x14ac:dyDescent="0.3">
      <c r="F330" s="23"/>
      <c r="G330" s="25"/>
    </row>
    <row r="331" spans="6:7" x14ac:dyDescent="0.3">
      <c r="F331" s="23"/>
      <c r="G331" s="25"/>
    </row>
    <row r="332" spans="6:7" x14ac:dyDescent="0.3">
      <c r="F332" s="23"/>
      <c r="G332" s="25"/>
    </row>
    <row r="333" spans="6:7" x14ac:dyDescent="0.3">
      <c r="F333" s="23"/>
      <c r="G333" s="25"/>
    </row>
    <row r="334" spans="6:7" x14ac:dyDescent="0.3">
      <c r="F334" s="23"/>
      <c r="G334" s="25"/>
    </row>
    <row r="335" spans="6:7" x14ac:dyDescent="0.3">
      <c r="F335" s="23"/>
      <c r="G335" s="25"/>
    </row>
    <row r="336" spans="6:7" x14ac:dyDescent="0.3">
      <c r="F336" s="23"/>
      <c r="G336" s="25"/>
    </row>
    <row r="337" spans="6:7" x14ac:dyDescent="0.3">
      <c r="F337" s="23"/>
      <c r="G337" s="25"/>
    </row>
    <row r="338" spans="6:7" x14ac:dyDescent="0.3">
      <c r="F338" s="23"/>
      <c r="G338" s="25"/>
    </row>
    <row r="339" spans="6:7" x14ac:dyDescent="0.3">
      <c r="F339" s="23"/>
      <c r="G339" s="25"/>
    </row>
    <row r="340" spans="6:7" x14ac:dyDescent="0.3">
      <c r="F340" s="23"/>
      <c r="G340" s="25"/>
    </row>
    <row r="341" spans="6:7" x14ac:dyDescent="0.3">
      <c r="F341" s="23"/>
      <c r="G341" s="25"/>
    </row>
    <row r="342" spans="6:7" x14ac:dyDescent="0.3">
      <c r="F342" s="23"/>
      <c r="G342" s="25"/>
    </row>
    <row r="343" spans="6:7" x14ac:dyDescent="0.3">
      <c r="F343" s="23"/>
      <c r="G343" s="25"/>
    </row>
    <row r="344" spans="6:7" x14ac:dyDescent="0.3">
      <c r="F344" s="23"/>
      <c r="G344" s="25"/>
    </row>
    <row r="345" spans="6:7" x14ac:dyDescent="0.3">
      <c r="F345" s="23"/>
      <c r="G345" s="25"/>
    </row>
    <row r="346" spans="6:7" x14ac:dyDescent="0.3">
      <c r="F346" s="23"/>
      <c r="G346" s="25"/>
    </row>
    <row r="347" spans="6:7" x14ac:dyDescent="0.3">
      <c r="F347" s="23"/>
      <c r="G347" s="25"/>
    </row>
    <row r="348" spans="6:7" x14ac:dyDescent="0.3">
      <c r="F348" s="23"/>
      <c r="G348" s="25"/>
    </row>
    <row r="349" spans="6:7" x14ac:dyDescent="0.3">
      <c r="F349" s="23"/>
      <c r="G349" s="25"/>
    </row>
    <row r="350" spans="6:7" x14ac:dyDescent="0.3">
      <c r="F350" s="23"/>
      <c r="G350" s="25"/>
    </row>
    <row r="351" spans="6:7" x14ac:dyDescent="0.3">
      <c r="F351" s="23"/>
      <c r="G351" s="25"/>
    </row>
    <row r="352" spans="6:7" x14ac:dyDescent="0.3">
      <c r="F352" s="23"/>
      <c r="G352" s="25"/>
    </row>
    <row r="353" spans="6:7" x14ac:dyDescent="0.3">
      <c r="F353" s="23"/>
      <c r="G353" s="25"/>
    </row>
    <row r="354" spans="6:7" x14ac:dyDescent="0.3">
      <c r="F354" s="23"/>
      <c r="G354" s="25"/>
    </row>
    <row r="355" spans="6:7" x14ac:dyDescent="0.3">
      <c r="F355" s="23"/>
      <c r="G355" s="25"/>
    </row>
    <row r="356" spans="6:7" x14ac:dyDescent="0.3">
      <c r="F356" s="23"/>
      <c r="G356" s="25"/>
    </row>
    <row r="357" spans="6:7" x14ac:dyDescent="0.3">
      <c r="F357" s="23"/>
      <c r="G357" s="25"/>
    </row>
    <row r="358" spans="6:7" x14ac:dyDescent="0.3">
      <c r="F358" s="23"/>
      <c r="G358" s="25"/>
    </row>
    <row r="359" spans="6:7" x14ac:dyDescent="0.3">
      <c r="F359" s="23"/>
      <c r="G359" s="25"/>
    </row>
    <row r="360" spans="6:7" x14ac:dyDescent="0.3">
      <c r="F360" s="23"/>
      <c r="G360" s="25"/>
    </row>
    <row r="361" spans="6:7" x14ac:dyDescent="0.3">
      <c r="F361" s="23"/>
      <c r="G361" s="25"/>
    </row>
    <row r="362" spans="6:7" x14ac:dyDescent="0.3">
      <c r="F362" s="23"/>
      <c r="G362" s="25"/>
    </row>
    <row r="363" spans="6:7" x14ac:dyDescent="0.3">
      <c r="F363" s="23"/>
      <c r="G363" s="25"/>
    </row>
    <row r="364" spans="6:7" x14ac:dyDescent="0.3">
      <c r="F364" s="23"/>
      <c r="G364" s="25"/>
    </row>
    <row r="365" spans="6:7" x14ac:dyDescent="0.3">
      <c r="F365" s="23"/>
      <c r="G365" s="25"/>
    </row>
    <row r="366" spans="6:7" x14ac:dyDescent="0.3">
      <c r="F366" s="23"/>
      <c r="G366" s="25"/>
    </row>
    <row r="367" spans="6:7" x14ac:dyDescent="0.3">
      <c r="F367" s="23"/>
      <c r="G367" s="25"/>
    </row>
    <row r="368" spans="6:7" x14ac:dyDescent="0.3">
      <c r="F368" s="23"/>
      <c r="G368" s="25"/>
    </row>
    <row r="369" spans="6:7" x14ac:dyDescent="0.3">
      <c r="F369" s="23"/>
      <c r="G369" s="25"/>
    </row>
    <row r="370" spans="6:7" x14ac:dyDescent="0.3">
      <c r="F370" s="23"/>
      <c r="G370" s="25"/>
    </row>
    <row r="371" spans="6:7" x14ac:dyDescent="0.3">
      <c r="F371" s="23"/>
      <c r="G371" s="25"/>
    </row>
    <row r="372" spans="6:7" x14ac:dyDescent="0.3">
      <c r="F372" s="23"/>
      <c r="G372" s="25"/>
    </row>
    <row r="373" spans="6:7" x14ac:dyDescent="0.3">
      <c r="F373" s="23"/>
      <c r="G373" s="25"/>
    </row>
    <row r="374" spans="6:7" x14ac:dyDescent="0.3">
      <c r="F374" s="23"/>
      <c r="G374" s="25"/>
    </row>
    <row r="375" spans="6:7" x14ac:dyDescent="0.3">
      <c r="F375" s="23"/>
      <c r="G375" s="25"/>
    </row>
    <row r="376" spans="6:7" x14ac:dyDescent="0.3">
      <c r="F376" s="23"/>
      <c r="G376" s="25"/>
    </row>
    <row r="377" spans="6:7" x14ac:dyDescent="0.3">
      <c r="F377" s="23"/>
      <c r="G377" s="25"/>
    </row>
    <row r="378" spans="6:7" x14ac:dyDescent="0.3">
      <c r="F378" s="23"/>
      <c r="G378" s="25"/>
    </row>
    <row r="379" spans="6:7" x14ac:dyDescent="0.3">
      <c r="F379" s="23"/>
      <c r="G379" s="25"/>
    </row>
    <row r="380" spans="6:7" x14ac:dyDescent="0.3">
      <c r="F380" s="23"/>
      <c r="G380" s="25"/>
    </row>
    <row r="381" spans="6:7" x14ac:dyDescent="0.3">
      <c r="F381" s="23"/>
      <c r="G381" s="25"/>
    </row>
    <row r="382" spans="6:7" x14ac:dyDescent="0.3">
      <c r="F382" s="23"/>
      <c r="G382" s="25"/>
    </row>
    <row r="383" spans="6:7" x14ac:dyDescent="0.3">
      <c r="F383" s="23"/>
      <c r="G383" s="25"/>
    </row>
    <row r="384" spans="6:7" x14ac:dyDescent="0.3">
      <c r="F384" s="23"/>
      <c r="G384" s="25"/>
    </row>
    <row r="385" spans="6:7" x14ac:dyDescent="0.3">
      <c r="F385" s="23"/>
      <c r="G385" s="25"/>
    </row>
    <row r="386" spans="6:7" x14ac:dyDescent="0.3">
      <c r="F386" s="23"/>
      <c r="G386" s="25"/>
    </row>
    <row r="387" spans="6:7" x14ac:dyDescent="0.3">
      <c r="F387" s="23"/>
      <c r="G387" s="25"/>
    </row>
    <row r="388" spans="6:7" x14ac:dyDescent="0.3">
      <c r="F388" s="23"/>
      <c r="G388" s="25"/>
    </row>
    <row r="389" spans="6:7" x14ac:dyDescent="0.3">
      <c r="F389" s="23"/>
      <c r="G389" s="25"/>
    </row>
    <row r="390" spans="6:7" x14ac:dyDescent="0.3">
      <c r="F390" s="23"/>
      <c r="G390" s="25"/>
    </row>
    <row r="391" spans="6:7" x14ac:dyDescent="0.3">
      <c r="F391" s="23"/>
      <c r="G391" s="25"/>
    </row>
    <row r="392" spans="6:7" x14ac:dyDescent="0.3">
      <c r="F392" s="23"/>
      <c r="G392" s="25"/>
    </row>
    <row r="393" spans="6:7" x14ac:dyDescent="0.3">
      <c r="F393" s="23"/>
      <c r="G393" s="25"/>
    </row>
    <row r="394" spans="6:7" x14ac:dyDescent="0.3">
      <c r="F394" s="23"/>
      <c r="G394" s="25"/>
    </row>
    <row r="395" spans="6:7" x14ac:dyDescent="0.3">
      <c r="F395" s="23"/>
      <c r="G395" s="25"/>
    </row>
    <row r="396" spans="6:7" x14ac:dyDescent="0.3">
      <c r="F396" s="23"/>
      <c r="G396" s="25"/>
    </row>
    <row r="397" spans="6:7" x14ac:dyDescent="0.3">
      <c r="F397" s="23"/>
      <c r="G397" s="25"/>
    </row>
    <row r="398" spans="6:7" x14ac:dyDescent="0.3">
      <c r="F398" s="23"/>
      <c r="G398" s="25"/>
    </row>
    <row r="399" spans="6:7" x14ac:dyDescent="0.3">
      <c r="F399" s="23"/>
      <c r="G399" s="25"/>
    </row>
    <row r="400" spans="6:7" x14ac:dyDescent="0.3">
      <c r="F400" s="23"/>
      <c r="G400" s="25"/>
    </row>
    <row r="401" spans="6:7" x14ac:dyDescent="0.3">
      <c r="F401" s="23"/>
      <c r="G401" s="25"/>
    </row>
    <row r="402" spans="6:7" x14ac:dyDescent="0.3">
      <c r="F402" s="23"/>
      <c r="G402" s="25"/>
    </row>
    <row r="403" spans="6:7" x14ac:dyDescent="0.3">
      <c r="F403" s="23"/>
      <c r="G403" s="25"/>
    </row>
    <row r="404" spans="6:7" x14ac:dyDescent="0.3">
      <c r="F404" s="23"/>
      <c r="G404" s="25"/>
    </row>
    <row r="405" spans="6:7" x14ac:dyDescent="0.3">
      <c r="F405" s="23"/>
      <c r="G405" s="25"/>
    </row>
    <row r="406" spans="6:7" x14ac:dyDescent="0.3">
      <c r="F406" s="23"/>
      <c r="G406" s="25"/>
    </row>
    <row r="407" spans="6:7" x14ac:dyDescent="0.3">
      <c r="F407" s="23"/>
      <c r="G407" s="25"/>
    </row>
    <row r="408" spans="6:7" x14ac:dyDescent="0.3">
      <c r="F408" s="23"/>
      <c r="G408" s="25"/>
    </row>
    <row r="409" spans="6:7" x14ac:dyDescent="0.3">
      <c r="F409" s="23"/>
      <c r="G409" s="25"/>
    </row>
    <row r="410" spans="6:7" x14ac:dyDescent="0.3">
      <c r="F410" s="23"/>
      <c r="G410" s="25"/>
    </row>
    <row r="411" spans="6:7" x14ac:dyDescent="0.3">
      <c r="F411" s="23"/>
      <c r="G411" s="25"/>
    </row>
    <row r="412" spans="6:7" x14ac:dyDescent="0.3">
      <c r="F412" s="23"/>
      <c r="G412" s="25"/>
    </row>
    <row r="413" spans="6:7" x14ac:dyDescent="0.3">
      <c r="F413" s="23"/>
      <c r="G413" s="25"/>
    </row>
    <row r="414" spans="6:7" x14ac:dyDescent="0.3">
      <c r="F414" s="23"/>
      <c r="G414" s="25"/>
    </row>
    <row r="415" spans="6:7" x14ac:dyDescent="0.3">
      <c r="F415" s="23"/>
      <c r="G415" s="25"/>
    </row>
    <row r="416" spans="6:7" x14ac:dyDescent="0.3">
      <c r="F416" s="23"/>
      <c r="G416" s="25"/>
    </row>
    <row r="417" spans="6:7" x14ac:dyDescent="0.3">
      <c r="F417" s="23"/>
      <c r="G417" s="25"/>
    </row>
    <row r="418" spans="6:7" x14ac:dyDescent="0.3">
      <c r="F418" s="23"/>
      <c r="G418" s="25"/>
    </row>
    <row r="419" spans="6:7" x14ac:dyDescent="0.3">
      <c r="F419" s="23"/>
      <c r="G419" s="25"/>
    </row>
    <row r="420" spans="6:7" x14ac:dyDescent="0.3">
      <c r="F420" s="23"/>
      <c r="G420" s="25"/>
    </row>
    <row r="421" spans="6:7" x14ac:dyDescent="0.3">
      <c r="F421" s="23"/>
      <c r="G421" s="25"/>
    </row>
    <row r="422" spans="6:7" x14ac:dyDescent="0.3">
      <c r="F422" s="23"/>
      <c r="G422" s="25"/>
    </row>
    <row r="423" spans="6:7" x14ac:dyDescent="0.3">
      <c r="F423" s="23"/>
      <c r="G423" s="25"/>
    </row>
    <row r="424" spans="6:7" x14ac:dyDescent="0.3">
      <c r="F424" s="23"/>
      <c r="G424" s="25"/>
    </row>
    <row r="425" spans="6:7" x14ac:dyDescent="0.3">
      <c r="F425" s="23"/>
      <c r="G425" s="25"/>
    </row>
    <row r="426" spans="6:7" x14ac:dyDescent="0.3">
      <c r="F426" s="23"/>
      <c r="G426" s="25"/>
    </row>
    <row r="427" spans="6:7" x14ac:dyDescent="0.3">
      <c r="F427" s="23"/>
      <c r="G427" s="25"/>
    </row>
    <row r="428" spans="6:7" x14ac:dyDescent="0.3">
      <c r="F428" s="23"/>
      <c r="G428" s="25"/>
    </row>
    <row r="429" spans="6:7" x14ac:dyDescent="0.3">
      <c r="F429" s="23"/>
      <c r="G429" s="25"/>
    </row>
    <row r="430" spans="6:7" x14ac:dyDescent="0.3">
      <c r="F430" s="23"/>
      <c r="G430" s="25"/>
    </row>
    <row r="431" spans="6:7" x14ac:dyDescent="0.3">
      <c r="F431" s="23"/>
      <c r="G431" s="25"/>
    </row>
    <row r="432" spans="6:7" x14ac:dyDescent="0.3">
      <c r="F432" s="23"/>
      <c r="G432" s="25"/>
    </row>
    <row r="433" spans="6:7" x14ac:dyDescent="0.3">
      <c r="F433" s="23"/>
      <c r="G433" s="25"/>
    </row>
    <row r="434" spans="6:7" x14ac:dyDescent="0.3">
      <c r="F434" s="23"/>
      <c r="G434" s="25"/>
    </row>
    <row r="435" spans="6:7" x14ac:dyDescent="0.3">
      <c r="F435" s="23"/>
      <c r="G435" s="25"/>
    </row>
    <row r="436" spans="6:7" x14ac:dyDescent="0.3">
      <c r="F436" s="23"/>
      <c r="G436" s="25"/>
    </row>
    <row r="437" spans="6:7" x14ac:dyDescent="0.3">
      <c r="F437" s="23"/>
      <c r="G437" s="25"/>
    </row>
    <row r="438" spans="6:7" x14ac:dyDescent="0.3">
      <c r="F438" s="23"/>
      <c r="G438" s="25"/>
    </row>
    <row r="439" spans="6:7" x14ac:dyDescent="0.3">
      <c r="F439" s="23"/>
      <c r="G439" s="25"/>
    </row>
    <row r="440" spans="6:7" x14ac:dyDescent="0.3">
      <c r="F440" s="23"/>
      <c r="G440" s="25"/>
    </row>
    <row r="441" spans="6:7" x14ac:dyDescent="0.3">
      <c r="F441" s="23"/>
      <c r="G441" s="25"/>
    </row>
    <row r="442" spans="6:7" x14ac:dyDescent="0.3">
      <c r="F442" s="23"/>
      <c r="G442" s="25"/>
    </row>
    <row r="443" spans="6:7" x14ac:dyDescent="0.3">
      <c r="F443" s="23"/>
      <c r="G443" s="25"/>
    </row>
    <row r="444" spans="6:7" x14ac:dyDescent="0.3">
      <c r="F444" s="23"/>
      <c r="G444" s="25"/>
    </row>
    <row r="445" spans="6:7" x14ac:dyDescent="0.3">
      <c r="F445" s="23"/>
      <c r="G445" s="25"/>
    </row>
    <row r="446" spans="6:7" x14ac:dyDescent="0.3">
      <c r="F446" s="23"/>
      <c r="G446" s="25"/>
    </row>
    <row r="447" spans="6:7" x14ac:dyDescent="0.3">
      <c r="F447" s="23"/>
      <c r="G447" s="25"/>
    </row>
    <row r="448" spans="6:7" x14ac:dyDescent="0.3">
      <c r="F448" s="23"/>
      <c r="G448" s="25"/>
    </row>
    <row r="449" spans="6:7" x14ac:dyDescent="0.3">
      <c r="F449" s="23"/>
      <c r="G449" s="25"/>
    </row>
    <row r="450" spans="6:7" x14ac:dyDescent="0.3">
      <c r="F450" s="23"/>
      <c r="G450" s="25"/>
    </row>
    <row r="451" spans="6:7" x14ac:dyDescent="0.3">
      <c r="F451" s="23"/>
      <c r="G451" s="25"/>
    </row>
    <row r="452" spans="6:7" x14ac:dyDescent="0.3">
      <c r="F452" s="23"/>
      <c r="G452" s="25"/>
    </row>
    <row r="453" spans="6:7" x14ac:dyDescent="0.3">
      <c r="F453" s="23"/>
      <c r="G453" s="25"/>
    </row>
    <row r="454" spans="6:7" x14ac:dyDescent="0.3">
      <c r="F454" s="23"/>
      <c r="G454" s="25"/>
    </row>
    <row r="455" spans="6:7" x14ac:dyDescent="0.3">
      <c r="F455" s="23"/>
      <c r="G455" s="25"/>
    </row>
    <row r="456" spans="6:7" x14ac:dyDescent="0.3">
      <c r="F456" s="23"/>
      <c r="G456" s="25"/>
    </row>
    <row r="457" spans="6:7" x14ac:dyDescent="0.3">
      <c r="F457" s="23"/>
      <c r="G457" s="25"/>
    </row>
    <row r="458" spans="6:7" x14ac:dyDescent="0.3">
      <c r="F458" s="23"/>
      <c r="G458" s="25"/>
    </row>
    <row r="459" spans="6:7" x14ac:dyDescent="0.3">
      <c r="F459" s="23"/>
      <c r="G459" s="25"/>
    </row>
    <row r="460" spans="6:7" x14ac:dyDescent="0.3">
      <c r="F460" s="23"/>
      <c r="G460" s="25"/>
    </row>
    <row r="461" spans="6:7" x14ac:dyDescent="0.3">
      <c r="F461" s="23"/>
      <c r="G461" s="25"/>
    </row>
    <row r="462" spans="6:7" x14ac:dyDescent="0.3">
      <c r="F462" s="23"/>
      <c r="G462" s="25"/>
    </row>
    <row r="463" spans="6:7" x14ac:dyDescent="0.3">
      <c r="F463" s="23"/>
      <c r="G463" s="25"/>
    </row>
    <row r="464" spans="6:7" x14ac:dyDescent="0.3">
      <c r="F464" s="23"/>
      <c r="G464" s="25"/>
    </row>
    <row r="465" spans="6:7" x14ac:dyDescent="0.3">
      <c r="F465" s="23"/>
      <c r="G465" s="25"/>
    </row>
    <row r="466" spans="6:7" x14ac:dyDescent="0.3">
      <c r="F466" s="23"/>
      <c r="G466" s="25"/>
    </row>
    <row r="467" spans="6:7" x14ac:dyDescent="0.3">
      <c r="F467" s="23"/>
      <c r="G467" s="25"/>
    </row>
    <row r="468" spans="6:7" x14ac:dyDescent="0.3">
      <c r="F468" s="23"/>
      <c r="G468" s="25"/>
    </row>
    <row r="469" spans="6:7" x14ac:dyDescent="0.3">
      <c r="F469" s="23"/>
      <c r="G469" s="25"/>
    </row>
    <row r="470" spans="6:7" x14ac:dyDescent="0.3">
      <c r="F470" s="23"/>
      <c r="G470" s="25"/>
    </row>
    <row r="471" spans="6:7" x14ac:dyDescent="0.3">
      <c r="F471" s="23"/>
      <c r="G471" s="25"/>
    </row>
    <row r="472" spans="6:7" x14ac:dyDescent="0.3">
      <c r="F472" s="23"/>
      <c r="G472" s="25"/>
    </row>
    <row r="473" spans="6:7" x14ac:dyDescent="0.3">
      <c r="F473" s="23"/>
      <c r="G473" s="25"/>
    </row>
    <row r="474" spans="6:7" x14ac:dyDescent="0.3">
      <c r="F474" s="23"/>
      <c r="G474" s="25"/>
    </row>
    <row r="475" spans="6:7" x14ac:dyDescent="0.3">
      <c r="F475" s="23"/>
      <c r="G475" s="25"/>
    </row>
    <row r="476" spans="6:7" x14ac:dyDescent="0.3">
      <c r="F476" s="23"/>
      <c r="G476" s="25"/>
    </row>
    <row r="477" spans="6:7" x14ac:dyDescent="0.3">
      <c r="F477" s="23"/>
      <c r="G477" s="25"/>
    </row>
    <row r="478" spans="6:7" x14ac:dyDescent="0.3">
      <c r="F478" s="23"/>
      <c r="G478" s="25"/>
    </row>
    <row r="479" spans="6:7" x14ac:dyDescent="0.3">
      <c r="F479" s="23"/>
      <c r="G479" s="25"/>
    </row>
    <row r="480" spans="6:7" x14ac:dyDescent="0.3">
      <c r="F480" s="23"/>
      <c r="G480" s="25"/>
    </row>
    <row r="481" spans="6:7" x14ac:dyDescent="0.3">
      <c r="F481" s="23"/>
      <c r="G481" s="25"/>
    </row>
    <row r="482" spans="6:7" x14ac:dyDescent="0.3">
      <c r="F482" s="23"/>
      <c r="G482" s="25"/>
    </row>
    <row r="483" spans="6:7" x14ac:dyDescent="0.3">
      <c r="F483" s="23"/>
      <c r="G483" s="25"/>
    </row>
    <row r="484" spans="6:7" x14ac:dyDescent="0.3">
      <c r="F484" s="23"/>
      <c r="G484" s="25"/>
    </row>
    <row r="485" spans="6:7" x14ac:dyDescent="0.3">
      <c r="F485" s="23"/>
      <c r="G485" s="25"/>
    </row>
    <row r="486" spans="6:7" x14ac:dyDescent="0.3">
      <c r="F486" s="23"/>
      <c r="G486" s="25"/>
    </row>
    <row r="487" spans="6:7" x14ac:dyDescent="0.3">
      <c r="F487" s="23"/>
      <c r="G487" s="25"/>
    </row>
    <row r="488" spans="6:7" x14ac:dyDescent="0.3">
      <c r="F488" s="23"/>
      <c r="G488" s="25"/>
    </row>
    <row r="489" spans="6:7" x14ac:dyDescent="0.3">
      <c r="F489" s="23"/>
      <c r="G489" s="25"/>
    </row>
    <row r="490" spans="6:7" x14ac:dyDescent="0.3">
      <c r="F490" s="23"/>
      <c r="G490" s="25"/>
    </row>
    <row r="491" spans="6:7" x14ac:dyDescent="0.3">
      <c r="F491" s="23"/>
      <c r="G491" s="25"/>
    </row>
    <row r="492" spans="6:7" x14ac:dyDescent="0.3">
      <c r="F492" s="23"/>
      <c r="G492" s="25"/>
    </row>
    <row r="493" spans="6:7" x14ac:dyDescent="0.3">
      <c r="F493" s="23"/>
      <c r="G493" s="25"/>
    </row>
    <row r="494" spans="6:7" x14ac:dyDescent="0.3">
      <c r="F494" s="23"/>
      <c r="G494" s="25"/>
    </row>
    <row r="495" spans="6:7" x14ac:dyDescent="0.3">
      <c r="F495" s="23"/>
      <c r="G495" s="25"/>
    </row>
    <row r="496" spans="6:7" x14ac:dyDescent="0.3">
      <c r="F496" s="23"/>
      <c r="G496" s="25"/>
    </row>
    <row r="497" spans="6:7" x14ac:dyDescent="0.3">
      <c r="F497" s="23"/>
      <c r="G497" s="25"/>
    </row>
    <row r="498" spans="6:7" x14ac:dyDescent="0.3">
      <c r="F498" s="23"/>
      <c r="G498" s="25"/>
    </row>
    <row r="499" spans="6:7" x14ac:dyDescent="0.3">
      <c r="F499" s="23"/>
      <c r="G499" s="25"/>
    </row>
    <row r="500" spans="6:7" x14ac:dyDescent="0.3">
      <c r="F500" s="23"/>
      <c r="G500" s="25"/>
    </row>
    <row r="501" spans="6:7" x14ac:dyDescent="0.3">
      <c r="F501" s="23"/>
      <c r="G501" s="25"/>
    </row>
    <row r="502" spans="6:7" x14ac:dyDescent="0.3">
      <c r="F502" s="23"/>
      <c r="G502" s="25"/>
    </row>
    <row r="503" spans="6:7" x14ac:dyDescent="0.3">
      <c r="F503" s="23"/>
      <c r="G503" s="25"/>
    </row>
    <row r="504" spans="6:7" x14ac:dyDescent="0.3">
      <c r="F504" s="23"/>
      <c r="G504" s="25"/>
    </row>
    <row r="505" spans="6:7" x14ac:dyDescent="0.3">
      <c r="F505" s="23"/>
      <c r="G505" s="25"/>
    </row>
    <row r="506" spans="6:7" x14ac:dyDescent="0.3">
      <c r="F506" s="23"/>
      <c r="G506" s="25"/>
    </row>
    <row r="507" spans="6:7" x14ac:dyDescent="0.3">
      <c r="F507" s="23"/>
      <c r="G507" s="25"/>
    </row>
    <row r="508" spans="6:7" x14ac:dyDescent="0.3">
      <c r="F508" s="23"/>
      <c r="G508" s="25"/>
    </row>
    <row r="509" spans="6:7" x14ac:dyDescent="0.3">
      <c r="F509" s="23"/>
      <c r="G509" s="25"/>
    </row>
    <row r="510" spans="6:7" x14ac:dyDescent="0.3">
      <c r="F510" s="23"/>
      <c r="G510" s="25"/>
    </row>
    <row r="511" spans="6:7" x14ac:dyDescent="0.3">
      <c r="F511" s="23"/>
      <c r="G511" s="25"/>
    </row>
    <row r="512" spans="6:7" x14ac:dyDescent="0.3">
      <c r="F512" s="23"/>
      <c r="G512" s="25"/>
    </row>
    <row r="513" spans="6:7" x14ac:dyDescent="0.3">
      <c r="F513" s="23"/>
      <c r="G513" s="25"/>
    </row>
    <row r="514" spans="6:7" x14ac:dyDescent="0.3">
      <c r="F514" s="23"/>
      <c r="G514" s="25"/>
    </row>
    <row r="515" spans="6:7" x14ac:dyDescent="0.3">
      <c r="F515" s="23"/>
      <c r="G515" s="25"/>
    </row>
    <row r="516" spans="6:7" x14ac:dyDescent="0.3">
      <c r="F516" s="23"/>
      <c r="G516" s="25"/>
    </row>
    <row r="517" spans="6:7" x14ac:dyDescent="0.3">
      <c r="F517" s="23"/>
      <c r="G517" s="25"/>
    </row>
    <row r="518" spans="6:7" x14ac:dyDescent="0.3">
      <c r="F518" s="23"/>
      <c r="G518" s="25"/>
    </row>
    <row r="519" spans="6:7" x14ac:dyDescent="0.3">
      <c r="F519" s="23"/>
      <c r="G519" s="25"/>
    </row>
    <row r="520" spans="6:7" x14ac:dyDescent="0.3">
      <c r="F520" s="23"/>
      <c r="G520" s="25"/>
    </row>
    <row r="521" spans="6:7" x14ac:dyDescent="0.3">
      <c r="F521" s="23"/>
      <c r="G521" s="25"/>
    </row>
    <row r="522" spans="6:7" x14ac:dyDescent="0.3">
      <c r="F522" s="23"/>
      <c r="G522" s="25"/>
    </row>
    <row r="523" spans="6:7" x14ac:dyDescent="0.3">
      <c r="F523" s="23"/>
      <c r="G523" s="25"/>
    </row>
    <row r="524" spans="6:7" x14ac:dyDescent="0.3">
      <c r="F524" s="23"/>
      <c r="G524" s="25"/>
    </row>
    <row r="525" spans="6:7" x14ac:dyDescent="0.3">
      <c r="F525" s="23"/>
      <c r="G525" s="25"/>
    </row>
    <row r="526" spans="6:7" x14ac:dyDescent="0.3">
      <c r="F526" s="23"/>
      <c r="G526" s="25"/>
    </row>
    <row r="527" spans="6:7" x14ac:dyDescent="0.3">
      <c r="F527" s="23"/>
      <c r="G527" s="25"/>
    </row>
    <row r="528" spans="6:7" x14ac:dyDescent="0.3">
      <c r="F528" s="23"/>
      <c r="G528" s="25"/>
    </row>
    <row r="529" spans="6:7" x14ac:dyDescent="0.3">
      <c r="F529" s="23"/>
      <c r="G529" s="25"/>
    </row>
    <row r="530" spans="6:7" x14ac:dyDescent="0.3">
      <c r="F530" s="23"/>
      <c r="G530" s="25"/>
    </row>
    <row r="531" spans="6:7" x14ac:dyDescent="0.3">
      <c r="F531" s="23"/>
      <c r="G531" s="25"/>
    </row>
    <row r="532" spans="6:7" x14ac:dyDescent="0.3">
      <c r="F532" s="23"/>
      <c r="G532" s="25"/>
    </row>
    <row r="533" spans="6:7" x14ac:dyDescent="0.3">
      <c r="F533" s="23"/>
      <c r="G533" s="25"/>
    </row>
    <row r="534" spans="6:7" x14ac:dyDescent="0.3">
      <c r="F534" s="23"/>
      <c r="G534" s="25"/>
    </row>
    <row r="535" spans="6:7" x14ac:dyDescent="0.3">
      <c r="F535" s="23"/>
      <c r="G535" s="25"/>
    </row>
    <row r="536" spans="6:7" x14ac:dyDescent="0.3">
      <c r="F536" s="23"/>
      <c r="G536" s="25"/>
    </row>
    <row r="537" spans="6:7" x14ac:dyDescent="0.3">
      <c r="F537" s="23"/>
      <c r="G537" s="25"/>
    </row>
    <row r="538" spans="6:7" x14ac:dyDescent="0.3">
      <c r="F538" s="23"/>
      <c r="G538" s="25"/>
    </row>
    <row r="539" spans="6:7" x14ac:dyDescent="0.3">
      <c r="F539" s="23"/>
      <c r="G539" s="25"/>
    </row>
    <row r="540" spans="6:7" x14ac:dyDescent="0.3">
      <c r="F540" s="23"/>
      <c r="G540" s="25"/>
    </row>
    <row r="541" spans="6:7" x14ac:dyDescent="0.3">
      <c r="F541" s="23"/>
      <c r="G541" s="25"/>
    </row>
    <row r="542" spans="6:7" x14ac:dyDescent="0.3">
      <c r="F542" s="23"/>
      <c r="G542" s="25"/>
    </row>
    <row r="543" spans="6:7" x14ac:dyDescent="0.3">
      <c r="F543" s="23"/>
      <c r="G543" s="25"/>
    </row>
    <row r="544" spans="6:7" x14ac:dyDescent="0.3">
      <c r="F544" s="23"/>
      <c r="G544" s="25"/>
    </row>
    <row r="545" spans="6:7" x14ac:dyDescent="0.3">
      <c r="F545" s="23"/>
      <c r="G545" s="25"/>
    </row>
    <row r="546" spans="6:7" x14ac:dyDescent="0.3">
      <c r="F546" s="23"/>
      <c r="G546" s="25"/>
    </row>
    <row r="547" spans="6:7" x14ac:dyDescent="0.3">
      <c r="F547" s="23"/>
      <c r="G547" s="25"/>
    </row>
    <row r="548" spans="6:7" x14ac:dyDescent="0.3">
      <c r="F548" s="23"/>
      <c r="G548" s="25"/>
    </row>
    <row r="549" spans="6:7" x14ac:dyDescent="0.3">
      <c r="F549" s="23"/>
      <c r="G549" s="25"/>
    </row>
    <row r="550" spans="6:7" x14ac:dyDescent="0.3">
      <c r="F550" s="23"/>
      <c r="G550" s="25"/>
    </row>
    <row r="551" spans="6:7" x14ac:dyDescent="0.3">
      <c r="F551" s="23"/>
      <c r="G551" s="25"/>
    </row>
    <row r="552" spans="6:7" x14ac:dyDescent="0.3">
      <c r="F552" s="23"/>
      <c r="G552" s="25"/>
    </row>
    <row r="553" spans="6:7" x14ac:dyDescent="0.3">
      <c r="F553" s="23"/>
      <c r="G553" s="25"/>
    </row>
    <row r="554" spans="6:7" x14ac:dyDescent="0.3">
      <c r="F554" s="23"/>
      <c r="G554" s="25"/>
    </row>
    <row r="555" spans="6:7" x14ac:dyDescent="0.3">
      <c r="F555" s="23"/>
      <c r="G555" s="25"/>
    </row>
    <row r="556" spans="6:7" x14ac:dyDescent="0.3">
      <c r="F556" s="23"/>
      <c r="G556" s="25"/>
    </row>
    <row r="557" spans="6:7" x14ac:dyDescent="0.3">
      <c r="F557" s="23"/>
      <c r="G557" s="25"/>
    </row>
    <row r="558" spans="6:7" x14ac:dyDescent="0.3">
      <c r="F558" s="23"/>
      <c r="G558" s="25"/>
    </row>
    <row r="559" spans="6:7" x14ac:dyDescent="0.3">
      <c r="F559" s="23"/>
      <c r="G559" s="25"/>
    </row>
    <row r="560" spans="6:7" x14ac:dyDescent="0.3">
      <c r="F560" s="23"/>
      <c r="G560" s="25"/>
    </row>
    <row r="561" spans="6:7" x14ac:dyDescent="0.3">
      <c r="F561" s="23"/>
      <c r="G561" s="25"/>
    </row>
    <row r="562" spans="6:7" x14ac:dyDescent="0.3">
      <c r="F562" s="23"/>
      <c r="G562" s="25"/>
    </row>
    <row r="563" spans="6:7" x14ac:dyDescent="0.3">
      <c r="F563" s="23"/>
      <c r="G563" s="25"/>
    </row>
    <row r="564" spans="6:7" x14ac:dyDescent="0.3">
      <c r="F564" s="23"/>
      <c r="G564" s="25"/>
    </row>
    <row r="565" spans="6:7" x14ac:dyDescent="0.3">
      <c r="F565" s="23"/>
      <c r="G565" s="25"/>
    </row>
    <row r="566" spans="6:7" x14ac:dyDescent="0.3">
      <c r="F566" s="23"/>
      <c r="G566" s="25"/>
    </row>
    <row r="567" spans="6:7" x14ac:dyDescent="0.3">
      <c r="F567" s="23"/>
      <c r="G567" s="25"/>
    </row>
    <row r="568" spans="6:7" x14ac:dyDescent="0.3">
      <c r="F568" s="23"/>
      <c r="G568" s="25"/>
    </row>
    <row r="569" spans="6:7" x14ac:dyDescent="0.3">
      <c r="F569" s="23"/>
      <c r="G569" s="25"/>
    </row>
    <row r="570" spans="6:7" x14ac:dyDescent="0.3">
      <c r="F570" s="23"/>
      <c r="G570" s="25"/>
    </row>
    <row r="571" spans="6:7" x14ac:dyDescent="0.3">
      <c r="F571" s="23"/>
      <c r="G571" s="25"/>
    </row>
    <row r="572" spans="6:7" x14ac:dyDescent="0.3">
      <c r="F572" s="23"/>
      <c r="G572" s="25"/>
    </row>
    <row r="573" spans="6:7" x14ac:dyDescent="0.3">
      <c r="F573" s="23"/>
      <c r="G573" s="25"/>
    </row>
    <row r="574" spans="6:7" x14ac:dyDescent="0.3">
      <c r="F574" s="23"/>
      <c r="G574" s="25"/>
    </row>
    <row r="575" spans="6:7" x14ac:dyDescent="0.3">
      <c r="F575" s="23"/>
      <c r="G575" s="25"/>
    </row>
    <row r="576" spans="6:7" x14ac:dyDescent="0.3">
      <c r="F576" s="23"/>
      <c r="G576" s="25"/>
    </row>
    <row r="577" spans="6:7" x14ac:dyDescent="0.3">
      <c r="F577" s="23"/>
      <c r="G577" s="25"/>
    </row>
    <row r="578" spans="6:7" x14ac:dyDescent="0.3">
      <c r="F578" s="23"/>
      <c r="G578" s="25"/>
    </row>
    <row r="579" spans="6:7" x14ac:dyDescent="0.3">
      <c r="F579" s="23"/>
      <c r="G579" s="25"/>
    </row>
    <row r="580" spans="6:7" x14ac:dyDescent="0.3">
      <c r="F580" s="23"/>
      <c r="G580" s="25"/>
    </row>
    <row r="581" spans="6:7" x14ac:dyDescent="0.3">
      <c r="F581" s="23"/>
      <c r="G581" s="25"/>
    </row>
    <row r="582" spans="6:7" x14ac:dyDescent="0.3">
      <c r="F582" s="23"/>
      <c r="G582" s="25"/>
    </row>
    <row r="583" spans="6:7" x14ac:dyDescent="0.3">
      <c r="F583" s="23"/>
      <c r="G583" s="25"/>
    </row>
    <row r="584" spans="6:7" x14ac:dyDescent="0.3">
      <c r="F584" s="23"/>
      <c r="G584" s="25"/>
    </row>
    <row r="585" spans="6:7" x14ac:dyDescent="0.3">
      <c r="F585" s="23"/>
      <c r="G585" s="25"/>
    </row>
    <row r="586" spans="6:7" x14ac:dyDescent="0.3">
      <c r="F586" s="23"/>
      <c r="G586" s="25"/>
    </row>
    <row r="587" spans="6:7" x14ac:dyDescent="0.3">
      <c r="F587" s="23"/>
      <c r="G587" s="25"/>
    </row>
    <row r="588" spans="6:7" x14ac:dyDescent="0.3">
      <c r="F588" s="23"/>
      <c r="G588" s="25"/>
    </row>
    <row r="589" spans="6:7" x14ac:dyDescent="0.3">
      <c r="F589" s="23"/>
      <c r="G589" s="25"/>
    </row>
    <row r="590" spans="6:7" x14ac:dyDescent="0.3">
      <c r="F590" s="23"/>
      <c r="G590" s="25"/>
    </row>
    <row r="591" spans="6:7" x14ac:dyDescent="0.3">
      <c r="F591" s="23"/>
      <c r="G591" s="25"/>
    </row>
    <row r="592" spans="6:7" x14ac:dyDescent="0.3">
      <c r="F592" s="23"/>
      <c r="G592" s="25"/>
    </row>
    <row r="593" spans="6:7" x14ac:dyDescent="0.3">
      <c r="F593" s="23"/>
      <c r="G593" s="25"/>
    </row>
    <row r="594" spans="6:7" x14ac:dyDescent="0.3">
      <c r="F594" s="23"/>
      <c r="G594" s="25"/>
    </row>
    <row r="595" spans="6:7" x14ac:dyDescent="0.3">
      <c r="F595" s="23"/>
      <c r="G595" s="25"/>
    </row>
    <row r="596" spans="6:7" x14ac:dyDescent="0.3">
      <c r="F596" s="23"/>
      <c r="G596" s="25"/>
    </row>
    <row r="597" spans="6:7" x14ac:dyDescent="0.3">
      <c r="F597" s="23"/>
      <c r="G597" s="25"/>
    </row>
    <row r="598" spans="6:7" x14ac:dyDescent="0.3">
      <c r="F598" s="23"/>
      <c r="G598" s="25"/>
    </row>
    <row r="599" spans="6:7" x14ac:dyDescent="0.3">
      <c r="F599" s="23"/>
      <c r="G599" s="25"/>
    </row>
    <row r="600" spans="6:7" x14ac:dyDescent="0.3">
      <c r="F600" s="23"/>
      <c r="G600" s="25"/>
    </row>
    <row r="601" spans="6:7" x14ac:dyDescent="0.3">
      <c r="F601" s="23"/>
      <c r="G601" s="25"/>
    </row>
    <row r="602" spans="6:7" x14ac:dyDescent="0.3">
      <c r="F602" s="23"/>
      <c r="G602" s="25"/>
    </row>
    <row r="603" spans="6:7" x14ac:dyDescent="0.3">
      <c r="F603" s="23"/>
      <c r="G603" s="25"/>
    </row>
    <row r="604" spans="6:7" x14ac:dyDescent="0.3">
      <c r="F604" s="23"/>
      <c r="G604" s="25"/>
    </row>
    <row r="605" spans="6:7" x14ac:dyDescent="0.3">
      <c r="F605" s="23"/>
      <c r="G605" s="25"/>
    </row>
    <row r="606" spans="6:7" x14ac:dyDescent="0.3">
      <c r="F606" s="23"/>
      <c r="G606" s="25"/>
    </row>
    <row r="607" spans="6:7" x14ac:dyDescent="0.3">
      <c r="F607" s="23"/>
      <c r="G607" s="25"/>
    </row>
    <row r="608" spans="6:7" x14ac:dyDescent="0.3">
      <c r="F608" s="23"/>
      <c r="G608" s="25"/>
    </row>
    <row r="609" spans="6:7" x14ac:dyDescent="0.3">
      <c r="F609" s="23"/>
      <c r="G609" s="25"/>
    </row>
    <row r="610" spans="6:7" x14ac:dyDescent="0.3">
      <c r="F610" s="23"/>
      <c r="G610" s="25"/>
    </row>
    <row r="611" spans="6:7" x14ac:dyDescent="0.3">
      <c r="F611" s="23"/>
      <c r="G611" s="25"/>
    </row>
    <row r="612" spans="6:7" x14ac:dyDescent="0.3">
      <c r="F612" s="23"/>
      <c r="G612" s="25"/>
    </row>
    <row r="613" spans="6:7" x14ac:dyDescent="0.3">
      <c r="F613" s="23"/>
      <c r="G613" s="25"/>
    </row>
    <row r="614" spans="6:7" x14ac:dyDescent="0.3">
      <c r="F614" s="23"/>
      <c r="G614" s="25"/>
    </row>
    <row r="615" spans="6:7" x14ac:dyDescent="0.3">
      <c r="F615" s="23"/>
      <c r="G615" s="25"/>
    </row>
    <row r="616" spans="6:7" x14ac:dyDescent="0.3">
      <c r="F616" s="23"/>
      <c r="G616" s="25"/>
    </row>
    <row r="617" spans="6:7" x14ac:dyDescent="0.3">
      <c r="F617" s="23"/>
      <c r="G617" s="25"/>
    </row>
    <row r="618" spans="6:7" x14ac:dyDescent="0.3">
      <c r="F618" s="23"/>
      <c r="G618" s="25"/>
    </row>
    <row r="619" spans="6:7" x14ac:dyDescent="0.3">
      <c r="F619" s="23"/>
      <c r="G619" s="25"/>
    </row>
    <row r="620" spans="6:7" x14ac:dyDescent="0.3">
      <c r="F620" s="23"/>
      <c r="G620" s="25"/>
    </row>
    <row r="621" spans="6:7" x14ac:dyDescent="0.3">
      <c r="F621" s="23"/>
      <c r="G621" s="25"/>
    </row>
    <row r="622" spans="6:7" x14ac:dyDescent="0.3">
      <c r="F622" s="23"/>
      <c r="G622" s="25"/>
    </row>
    <row r="623" spans="6:7" x14ac:dyDescent="0.3">
      <c r="F623" s="23"/>
      <c r="G623" s="25"/>
    </row>
    <row r="624" spans="6:7" x14ac:dyDescent="0.3">
      <c r="F624" s="23"/>
      <c r="G624" s="25"/>
    </row>
    <row r="625" spans="6:7" x14ac:dyDescent="0.3">
      <c r="F625" s="23"/>
      <c r="G625" s="25"/>
    </row>
    <row r="626" spans="6:7" x14ac:dyDescent="0.3">
      <c r="F626" s="23"/>
      <c r="G626" s="25"/>
    </row>
    <row r="627" spans="6:7" x14ac:dyDescent="0.3">
      <c r="F627" s="23"/>
      <c r="G627" s="25"/>
    </row>
    <row r="628" spans="6:7" x14ac:dyDescent="0.3">
      <c r="F628" s="23"/>
      <c r="G628" s="25"/>
    </row>
    <row r="629" spans="6:7" x14ac:dyDescent="0.3">
      <c r="F629" s="23"/>
      <c r="G629" s="25"/>
    </row>
    <row r="630" spans="6:7" x14ac:dyDescent="0.3">
      <c r="F630" s="23"/>
      <c r="G630" s="25"/>
    </row>
    <row r="631" spans="6:7" x14ac:dyDescent="0.3">
      <c r="F631" s="23"/>
      <c r="G631" s="25"/>
    </row>
    <row r="632" spans="6:7" x14ac:dyDescent="0.3">
      <c r="F632" s="23"/>
      <c r="G632" s="25"/>
    </row>
    <row r="633" spans="6:7" x14ac:dyDescent="0.3">
      <c r="F633" s="23"/>
      <c r="G633" s="25"/>
    </row>
    <row r="634" spans="6:7" x14ac:dyDescent="0.3">
      <c r="F634" s="23"/>
      <c r="G634" s="25"/>
    </row>
    <row r="635" spans="6:7" x14ac:dyDescent="0.3">
      <c r="F635" s="23"/>
      <c r="G635" s="25"/>
    </row>
    <row r="636" spans="6:7" x14ac:dyDescent="0.3">
      <c r="F636" s="23"/>
      <c r="G636" s="25"/>
    </row>
    <row r="637" spans="6:7" x14ac:dyDescent="0.3">
      <c r="F637" s="23"/>
      <c r="G637" s="25"/>
    </row>
    <row r="638" spans="6:7" x14ac:dyDescent="0.3">
      <c r="F638" s="23"/>
      <c r="G638" s="25"/>
    </row>
    <row r="639" spans="6:7" x14ac:dyDescent="0.3">
      <c r="F639" s="23"/>
      <c r="G639" s="25"/>
    </row>
    <row r="640" spans="6:7" x14ac:dyDescent="0.3">
      <c r="F640" s="23"/>
      <c r="G640" s="25"/>
    </row>
    <row r="641" spans="6:7" x14ac:dyDescent="0.3">
      <c r="F641" s="23"/>
      <c r="G641" s="25"/>
    </row>
    <row r="642" spans="6:7" x14ac:dyDescent="0.3">
      <c r="F642" s="23"/>
      <c r="G642" s="25"/>
    </row>
    <row r="643" spans="6:7" x14ac:dyDescent="0.3">
      <c r="F643" s="23"/>
      <c r="G643" s="25"/>
    </row>
    <row r="644" spans="6:7" x14ac:dyDescent="0.3">
      <c r="F644" s="23"/>
      <c r="G644" s="25"/>
    </row>
    <row r="645" spans="6:7" x14ac:dyDescent="0.3">
      <c r="F645" s="23"/>
      <c r="G645" s="25"/>
    </row>
    <row r="646" spans="6:7" x14ac:dyDescent="0.3">
      <c r="F646" s="23"/>
      <c r="G646" s="25"/>
    </row>
    <row r="647" spans="6:7" x14ac:dyDescent="0.3">
      <c r="F647" s="23"/>
      <c r="G647" s="25"/>
    </row>
    <row r="648" spans="6:7" x14ac:dyDescent="0.3">
      <c r="F648" s="23"/>
      <c r="G648" s="25"/>
    </row>
    <row r="649" spans="6:7" x14ac:dyDescent="0.3">
      <c r="F649" s="23"/>
      <c r="G649" s="25"/>
    </row>
    <row r="650" spans="6:7" x14ac:dyDescent="0.3">
      <c r="F650" s="23"/>
      <c r="G650" s="25"/>
    </row>
    <row r="651" spans="6:7" x14ac:dyDescent="0.3">
      <c r="F651" s="23"/>
      <c r="G651" s="25"/>
    </row>
    <row r="652" spans="6:7" x14ac:dyDescent="0.3">
      <c r="F652" s="23"/>
      <c r="G652" s="25"/>
    </row>
    <row r="653" spans="6:7" x14ac:dyDescent="0.3">
      <c r="F653" s="23"/>
      <c r="G653" s="25"/>
    </row>
    <row r="654" spans="6:7" x14ac:dyDescent="0.3">
      <c r="F654" s="23"/>
      <c r="G654" s="25"/>
    </row>
    <row r="655" spans="6:7" x14ac:dyDescent="0.3">
      <c r="F655" s="23"/>
      <c r="G655" s="25"/>
    </row>
    <row r="656" spans="6:7" x14ac:dyDescent="0.3">
      <c r="F656" s="23"/>
      <c r="G656" s="25"/>
    </row>
    <row r="657" spans="6:7" x14ac:dyDescent="0.3">
      <c r="F657" s="23"/>
      <c r="G657" s="25"/>
    </row>
    <row r="658" spans="6:7" x14ac:dyDescent="0.3">
      <c r="F658" s="23"/>
      <c r="G658" s="25"/>
    </row>
    <row r="659" spans="6:7" x14ac:dyDescent="0.3">
      <c r="F659" s="23"/>
      <c r="G659" s="25"/>
    </row>
    <row r="660" spans="6:7" x14ac:dyDescent="0.3">
      <c r="F660" s="23"/>
      <c r="G660" s="25"/>
    </row>
    <row r="661" spans="6:7" x14ac:dyDescent="0.3">
      <c r="F661" s="23"/>
      <c r="G661" s="25"/>
    </row>
    <row r="662" spans="6:7" x14ac:dyDescent="0.3">
      <c r="F662" s="23"/>
      <c r="G662" s="25"/>
    </row>
    <row r="663" spans="6:7" x14ac:dyDescent="0.3">
      <c r="F663" s="23"/>
      <c r="G663" s="25"/>
    </row>
    <row r="664" spans="6:7" x14ac:dyDescent="0.3">
      <c r="F664" s="23"/>
      <c r="G664" s="25"/>
    </row>
    <row r="665" spans="6:7" x14ac:dyDescent="0.3">
      <c r="F665" s="23"/>
      <c r="G665" s="25"/>
    </row>
    <row r="666" spans="6:7" x14ac:dyDescent="0.3">
      <c r="F666" s="23"/>
      <c r="G666" s="25"/>
    </row>
    <row r="667" spans="6:7" x14ac:dyDescent="0.3">
      <c r="F667" s="23"/>
      <c r="G667" s="25"/>
    </row>
    <row r="668" spans="6:7" x14ac:dyDescent="0.3">
      <c r="F668" s="23"/>
      <c r="G668" s="25"/>
    </row>
    <row r="669" spans="6:7" x14ac:dyDescent="0.3">
      <c r="F669" s="23"/>
      <c r="G669" s="25"/>
    </row>
    <row r="670" spans="6:7" x14ac:dyDescent="0.3">
      <c r="F670" s="23"/>
      <c r="G670" s="25"/>
    </row>
    <row r="671" spans="6:7" x14ac:dyDescent="0.3">
      <c r="F671" s="23"/>
      <c r="G671" s="25"/>
    </row>
    <row r="672" spans="6:7" x14ac:dyDescent="0.3">
      <c r="F672" s="23"/>
      <c r="G672" s="25"/>
    </row>
    <row r="673" spans="6:7" x14ac:dyDescent="0.3">
      <c r="F673" s="23"/>
      <c r="G673" s="25"/>
    </row>
    <row r="674" spans="6:7" x14ac:dyDescent="0.3">
      <c r="F674" s="23"/>
      <c r="G674" s="25"/>
    </row>
    <row r="675" spans="6:7" x14ac:dyDescent="0.3">
      <c r="F675" s="23"/>
      <c r="G675" s="25"/>
    </row>
    <row r="676" spans="6:7" x14ac:dyDescent="0.3">
      <c r="F676" s="23"/>
      <c r="G676" s="25"/>
    </row>
    <row r="677" spans="6:7" x14ac:dyDescent="0.3">
      <c r="F677" s="23"/>
      <c r="G677" s="25"/>
    </row>
    <row r="678" spans="6:7" x14ac:dyDescent="0.3">
      <c r="F678" s="23"/>
      <c r="G678" s="25"/>
    </row>
    <row r="679" spans="6:7" x14ac:dyDescent="0.3">
      <c r="F679" s="23"/>
      <c r="G679" s="25"/>
    </row>
    <row r="680" spans="6:7" x14ac:dyDescent="0.3">
      <c r="F680" s="23"/>
      <c r="G680" s="25"/>
    </row>
    <row r="681" spans="6:7" x14ac:dyDescent="0.3">
      <c r="F681" s="23"/>
      <c r="G681" s="25"/>
    </row>
    <row r="682" spans="6:7" x14ac:dyDescent="0.3">
      <c r="F682" s="23"/>
      <c r="G682" s="25"/>
    </row>
    <row r="683" spans="6:7" x14ac:dyDescent="0.3">
      <c r="F683" s="23"/>
      <c r="G683" s="25"/>
    </row>
    <row r="684" spans="6:7" x14ac:dyDescent="0.3">
      <c r="F684" s="23"/>
      <c r="G684" s="25"/>
    </row>
    <row r="685" spans="6:7" x14ac:dyDescent="0.3">
      <c r="F685" s="23"/>
      <c r="G685" s="25"/>
    </row>
    <row r="686" spans="6:7" x14ac:dyDescent="0.3">
      <c r="F686" s="23"/>
      <c r="G686" s="25"/>
    </row>
    <row r="687" spans="6:7" x14ac:dyDescent="0.3">
      <c r="F687" s="23"/>
      <c r="G687" s="25"/>
    </row>
    <row r="688" spans="6:7" x14ac:dyDescent="0.3">
      <c r="F688" s="23"/>
      <c r="G688" s="25"/>
    </row>
    <row r="689" spans="6:7" x14ac:dyDescent="0.3">
      <c r="F689" s="23"/>
      <c r="G689" s="25"/>
    </row>
    <row r="690" spans="6:7" x14ac:dyDescent="0.3">
      <c r="F690" s="23"/>
      <c r="G690" s="25"/>
    </row>
    <row r="691" spans="6:7" x14ac:dyDescent="0.3">
      <c r="F691" s="23"/>
      <c r="G691" s="25"/>
    </row>
    <row r="692" spans="6:7" x14ac:dyDescent="0.3">
      <c r="F692" s="23"/>
      <c r="G692" s="25"/>
    </row>
    <row r="693" spans="6:7" x14ac:dyDescent="0.3">
      <c r="F693" s="23"/>
      <c r="G693" s="25"/>
    </row>
    <row r="694" spans="6:7" x14ac:dyDescent="0.3">
      <c r="F694" s="23"/>
      <c r="G694" s="25"/>
    </row>
    <row r="695" spans="6:7" x14ac:dyDescent="0.3">
      <c r="F695" s="23"/>
      <c r="G695" s="25"/>
    </row>
    <row r="696" spans="6:7" x14ac:dyDescent="0.3">
      <c r="F696" s="23"/>
      <c r="G696" s="25"/>
    </row>
    <row r="697" spans="6:7" x14ac:dyDescent="0.3">
      <c r="F697" s="23"/>
      <c r="G697" s="25"/>
    </row>
    <row r="698" spans="6:7" x14ac:dyDescent="0.3">
      <c r="F698" s="23"/>
      <c r="G698" s="25"/>
    </row>
    <row r="699" spans="6:7" x14ac:dyDescent="0.3">
      <c r="F699" s="23"/>
      <c r="G699" s="25"/>
    </row>
    <row r="700" spans="6:7" x14ac:dyDescent="0.3">
      <c r="F700" s="23"/>
      <c r="G700" s="25"/>
    </row>
    <row r="701" spans="6:7" x14ac:dyDescent="0.3">
      <c r="F701" s="23"/>
      <c r="G701" s="25"/>
    </row>
    <row r="702" spans="6:7" x14ac:dyDescent="0.3">
      <c r="F702" s="23"/>
      <c r="G702" s="25"/>
    </row>
    <row r="703" spans="6:7" x14ac:dyDescent="0.3">
      <c r="F703" s="23"/>
      <c r="G703" s="25"/>
    </row>
    <row r="704" spans="6:7" x14ac:dyDescent="0.3">
      <c r="F704" s="23"/>
      <c r="G704" s="25"/>
    </row>
    <row r="705" spans="6:7" x14ac:dyDescent="0.3">
      <c r="F705" s="23"/>
      <c r="G705" s="25"/>
    </row>
    <row r="706" spans="6:7" x14ac:dyDescent="0.3">
      <c r="F706" s="23"/>
      <c r="G706" s="25"/>
    </row>
    <row r="707" spans="6:7" x14ac:dyDescent="0.3">
      <c r="F707" s="23"/>
      <c r="G707" s="25"/>
    </row>
    <row r="708" spans="6:7" x14ac:dyDescent="0.3">
      <c r="F708" s="23"/>
      <c r="G708" s="25"/>
    </row>
    <row r="709" spans="6:7" x14ac:dyDescent="0.3">
      <c r="F709" s="23"/>
      <c r="G709" s="25"/>
    </row>
    <row r="710" spans="6:7" x14ac:dyDescent="0.3">
      <c r="F710" s="23"/>
      <c r="G710" s="25"/>
    </row>
    <row r="711" spans="6:7" x14ac:dyDescent="0.3">
      <c r="F711" s="23"/>
      <c r="G711" s="25"/>
    </row>
    <row r="712" spans="6:7" x14ac:dyDescent="0.3">
      <c r="F712" s="23"/>
      <c r="G712" s="25"/>
    </row>
    <row r="713" spans="6:7" x14ac:dyDescent="0.3">
      <c r="F713" s="23"/>
      <c r="G713" s="25"/>
    </row>
    <row r="714" spans="6:7" x14ac:dyDescent="0.3">
      <c r="F714" s="23"/>
      <c r="G714" s="25"/>
    </row>
    <row r="715" spans="6:7" x14ac:dyDescent="0.3">
      <c r="F715" s="23"/>
      <c r="G715" s="25"/>
    </row>
    <row r="716" spans="6:7" x14ac:dyDescent="0.3">
      <c r="F716" s="23"/>
      <c r="G716" s="25"/>
    </row>
    <row r="717" spans="6:7" x14ac:dyDescent="0.3">
      <c r="F717" s="23"/>
      <c r="G717" s="25"/>
    </row>
    <row r="718" spans="6:7" x14ac:dyDescent="0.3">
      <c r="F718" s="23"/>
      <c r="G718" s="25"/>
    </row>
    <row r="719" spans="6:7" x14ac:dyDescent="0.3">
      <c r="F719" s="23"/>
      <c r="G719" s="25"/>
    </row>
    <row r="720" spans="6:7" x14ac:dyDescent="0.3">
      <c r="F720" s="23"/>
      <c r="G720" s="25"/>
    </row>
    <row r="721" spans="6:7" x14ac:dyDescent="0.3">
      <c r="F721" s="23"/>
      <c r="G721" s="25"/>
    </row>
    <row r="722" spans="6:7" x14ac:dyDescent="0.3">
      <c r="F722" s="23"/>
      <c r="G722" s="25"/>
    </row>
    <row r="723" spans="6:7" x14ac:dyDescent="0.3">
      <c r="F723" s="23"/>
      <c r="G723" s="25"/>
    </row>
    <row r="724" spans="6:7" x14ac:dyDescent="0.3">
      <c r="F724" s="23"/>
      <c r="G724" s="25"/>
    </row>
    <row r="725" spans="6:7" x14ac:dyDescent="0.3">
      <c r="F725" s="23"/>
      <c r="G725" s="25"/>
    </row>
    <row r="726" spans="6:7" x14ac:dyDescent="0.3">
      <c r="F726" s="23"/>
      <c r="G726" s="25"/>
    </row>
    <row r="727" spans="6:7" x14ac:dyDescent="0.3">
      <c r="F727" s="23"/>
      <c r="G727" s="25"/>
    </row>
    <row r="728" spans="6:7" x14ac:dyDescent="0.3">
      <c r="F728" s="23"/>
      <c r="G728" s="25"/>
    </row>
    <row r="729" spans="6:7" x14ac:dyDescent="0.3">
      <c r="F729" s="23"/>
      <c r="G729" s="25"/>
    </row>
    <row r="730" spans="6:7" x14ac:dyDescent="0.3">
      <c r="F730" s="23"/>
      <c r="G730" s="25"/>
    </row>
    <row r="731" spans="6:7" x14ac:dyDescent="0.3">
      <c r="F731" s="23"/>
      <c r="G731" s="25"/>
    </row>
    <row r="732" spans="6:7" x14ac:dyDescent="0.3">
      <c r="F732" s="23"/>
      <c r="G732" s="25"/>
    </row>
    <row r="733" spans="6:7" x14ac:dyDescent="0.3">
      <c r="F733" s="23"/>
      <c r="G733" s="25"/>
    </row>
    <row r="734" spans="6:7" x14ac:dyDescent="0.3">
      <c r="F734" s="23"/>
      <c r="G734" s="25"/>
    </row>
    <row r="735" spans="6:7" x14ac:dyDescent="0.3">
      <c r="F735" s="23"/>
      <c r="G735" s="25"/>
    </row>
    <row r="736" spans="6:7" x14ac:dyDescent="0.3">
      <c r="F736" s="23"/>
      <c r="G736" s="25"/>
    </row>
    <row r="737" spans="6:7" x14ac:dyDescent="0.3">
      <c r="F737" s="23"/>
      <c r="G737" s="25"/>
    </row>
    <row r="738" spans="6:7" x14ac:dyDescent="0.3">
      <c r="F738" s="23"/>
      <c r="G738" s="25"/>
    </row>
    <row r="739" spans="6:7" x14ac:dyDescent="0.3">
      <c r="F739" s="23"/>
      <c r="G739" s="25"/>
    </row>
    <row r="740" spans="6:7" x14ac:dyDescent="0.3">
      <c r="F740" s="23"/>
      <c r="G740" s="25"/>
    </row>
    <row r="741" spans="6:7" x14ac:dyDescent="0.3">
      <c r="F741" s="23"/>
      <c r="G741" s="25"/>
    </row>
    <row r="742" spans="6:7" x14ac:dyDescent="0.3">
      <c r="F742" s="23"/>
      <c r="G742" s="25"/>
    </row>
    <row r="743" spans="6:7" x14ac:dyDescent="0.3">
      <c r="F743" s="23"/>
      <c r="G743" s="25"/>
    </row>
    <row r="744" spans="6:7" x14ac:dyDescent="0.3">
      <c r="F744" s="23"/>
      <c r="G744" s="25"/>
    </row>
    <row r="745" spans="6:7" x14ac:dyDescent="0.3">
      <c r="F745" s="23"/>
      <c r="G745" s="25"/>
    </row>
    <row r="746" spans="6:7" x14ac:dyDescent="0.3">
      <c r="F746" s="23"/>
      <c r="G746" s="25"/>
    </row>
    <row r="747" spans="6:7" x14ac:dyDescent="0.3">
      <c r="F747" s="23"/>
      <c r="G747" s="25"/>
    </row>
    <row r="748" spans="6:7" x14ac:dyDescent="0.3">
      <c r="F748" s="23"/>
      <c r="G748" s="25"/>
    </row>
    <row r="749" spans="6:7" x14ac:dyDescent="0.3">
      <c r="F749" s="23"/>
      <c r="G749" s="25"/>
    </row>
    <row r="750" spans="6:7" x14ac:dyDescent="0.3">
      <c r="F750" s="23"/>
      <c r="G750" s="25"/>
    </row>
    <row r="751" spans="6:7" x14ac:dyDescent="0.3">
      <c r="F751" s="23"/>
      <c r="G751" s="25"/>
    </row>
    <row r="752" spans="6:7" x14ac:dyDescent="0.3">
      <c r="F752" s="23"/>
      <c r="G752" s="25"/>
    </row>
    <row r="753" spans="6:7" x14ac:dyDescent="0.3">
      <c r="F753" s="23"/>
      <c r="G753" s="25"/>
    </row>
    <row r="754" spans="6:7" x14ac:dyDescent="0.3">
      <c r="F754" s="23"/>
      <c r="G754" s="25"/>
    </row>
    <row r="755" spans="6:7" x14ac:dyDescent="0.3">
      <c r="F755" s="23"/>
      <c r="G755" s="25"/>
    </row>
    <row r="756" spans="6:7" x14ac:dyDescent="0.3">
      <c r="F756" s="23"/>
      <c r="G756" s="25"/>
    </row>
    <row r="757" spans="6:7" x14ac:dyDescent="0.3">
      <c r="F757" s="23"/>
      <c r="G757" s="25"/>
    </row>
    <row r="758" spans="6:7" x14ac:dyDescent="0.3">
      <c r="F758" s="23"/>
      <c r="G758" s="25"/>
    </row>
    <row r="759" spans="6:7" x14ac:dyDescent="0.3">
      <c r="F759" s="23"/>
      <c r="G759" s="25"/>
    </row>
    <row r="760" spans="6:7" x14ac:dyDescent="0.3">
      <c r="F760" s="23"/>
      <c r="G760" s="25"/>
    </row>
    <row r="761" spans="6:7" x14ac:dyDescent="0.3">
      <c r="F761" s="23"/>
      <c r="G761" s="25"/>
    </row>
    <row r="762" spans="6:7" x14ac:dyDescent="0.3">
      <c r="F762" s="23"/>
      <c r="G762" s="25"/>
    </row>
    <row r="763" spans="6:7" x14ac:dyDescent="0.3">
      <c r="F763" s="23"/>
      <c r="G763" s="25"/>
    </row>
    <row r="764" spans="6:7" x14ac:dyDescent="0.3">
      <c r="F764" s="23"/>
      <c r="G764" s="25"/>
    </row>
    <row r="765" spans="6:7" x14ac:dyDescent="0.3">
      <c r="F765" s="23"/>
      <c r="G765" s="25"/>
    </row>
    <row r="766" spans="6:7" x14ac:dyDescent="0.3">
      <c r="F766" s="23"/>
      <c r="G766" s="25"/>
    </row>
    <row r="767" spans="6:7" x14ac:dyDescent="0.3">
      <c r="F767" s="23"/>
      <c r="G767" s="25"/>
    </row>
    <row r="768" spans="6:7" x14ac:dyDescent="0.3">
      <c r="F768" s="23"/>
      <c r="G768" s="25"/>
    </row>
    <row r="769" spans="6:7" x14ac:dyDescent="0.3">
      <c r="F769" s="23"/>
      <c r="G769" s="25"/>
    </row>
    <row r="770" spans="6:7" x14ac:dyDescent="0.3">
      <c r="F770" s="23"/>
      <c r="G770" s="25"/>
    </row>
    <row r="771" spans="6:7" x14ac:dyDescent="0.3">
      <c r="F771" s="23"/>
      <c r="G771" s="25"/>
    </row>
    <row r="772" spans="6:7" x14ac:dyDescent="0.3">
      <c r="F772" s="23"/>
      <c r="G772" s="25"/>
    </row>
    <row r="773" spans="6:7" x14ac:dyDescent="0.3">
      <c r="F773" s="23"/>
      <c r="G773" s="25"/>
    </row>
    <row r="774" spans="6:7" x14ac:dyDescent="0.3">
      <c r="F774" s="23"/>
      <c r="G774" s="25"/>
    </row>
    <row r="775" spans="6:7" x14ac:dyDescent="0.3">
      <c r="F775" s="23"/>
      <c r="G775" s="25"/>
    </row>
    <row r="776" spans="6:7" x14ac:dyDescent="0.3">
      <c r="F776" s="23"/>
      <c r="G776" s="25"/>
    </row>
    <row r="777" spans="6:7" x14ac:dyDescent="0.3">
      <c r="F777" s="23"/>
      <c r="G777" s="25"/>
    </row>
    <row r="778" spans="6:7" x14ac:dyDescent="0.3">
      <c r="F778" s="23"/>
      <c r="G778" s="25"/>
    </row>
    <row r="779" spans="6:7" x14ac:dyDescent="0.3">
      <c r="F779" s="23"/>
      <c r="G779" s="25"/>
    </row>
    <row r="780" spans="6:7" x14ac:dyDescent="0.3">
      <c r="F780" s="23"/>
      <c r="G780" s="25"/>
    </row>
    <row r="781" spans="6:7" x14ac:dyDescent="0.3">
      <c r="F781" s="23"/>
      <c r="G781" s="25"/>
    </row>
    <row r="782" spans="6:7" x14ac:dyDescent="0.3">
      <c r="F782" s="23"/>
      <c r="G782" s="25"/>
    </row>
    <row r="783" spans="6:7" x14ac:dyDescent="0.3">
      <c r="F783" s="23"/>
      <c r="G783" s="25"/>
    </row>
    <row r="784" spans="6:7" x14ac:dyDescent="0.3">
      <c r="F784" s="23"/>
      <c r="G784" s="25"/>
    </row>
    <row r="785" spans="6:7" x14ac:dyDescent="0.3">
      <c r="F785" s="23"/>
      <c r="G785" s="25"/>
    </row>
    <row r="786" spans="6:7" x14ac:dyDescent="0.3">
      <c r="F786" s="23"/>
      <c r="G786" s="25"/>
    </row>
    <row r="787" spans="6:7" x14ac:dyDescent="0.3">
      <c r="F787" s="23"/>
      <c r="G787" s="25"/>
    </row>
    <row r="788" spans="6:7" x14ac:dyDescent="0.3">
      <c r="F788" s="23"/>
      <c r="G788" s="25"/>
    </row>
    <row r="789" spans="6:7" x14ac:dyDescent="0.3">
      <c r="F789" s="23"/>
      <c r="G789" s="25"/>
    </row>
    <row r="790" spans="6:7" x14ac:dyDescent="0.3">
      <c r="F790" s="23"/>
      <c r="G790" s="25"/>
    </row>
    <row r="791" spans="6:7" x14ac:dyDescent="0.3">
      <c r="F791" s="23"/>
      <c r="G791" s="25"/>
    </row>
    <row r="792" spans="6:7" x14ac:dyDescent="0.3">
      <c r="F792" s="23"/>
      <c r="G792" s="25"/>
    </row>
    <row r="793" spans="6:7" x14ac:dyDescent="0.3">
      <c r="F793" s="23"/>
      <c r="G793" s="25"/>
    </row>
    <row r="794" spans="6:7" x14ac:dyDescent="0.3">
      <c r="F794" s="23"/>
      <c r="G794" s="25"/>
    </row>
    <row r="795" spans="6:7" x14ac:dyDescent="0.3">
      <c r="F795" s="23"/>
      <c r="G795" s="25"/>
    </row>
    <row r="796" spans="6:7" x14ac:dyDescent="0.3">
      <c r="F796" s="23"/>
      <c r="G796" s="25"/>
    </row>
    <row r="797" spans="6:7" x14ac:dyDescent="0.3">
      <c r="F797" s="23"/>
      <c r="G797" s="25"/>
    </row>
    <row r="798" spans="6:7" x14ac:dyDescent="0.3">
      <c r="F798" s="23"/>
      <c r="G798" s="25"/>
    </row>
    <row r="799" spans="6:7" x14ac:dyDescent="0.3">
      <c r="F799" s="23"/>
      <c r="G799" s="25"/>
    </row>
    <row r="800" spans="6:7" x14ac:dyDescent="0.3">
      <c r="F800" s="23"/>
      <c r="G800" s="25"/>
    </row>
    <row r="801" spans="6:7" x14ac:dyDescent="0.3">
      <c r="F801" s="23"/>
      <c r="G801" s="25"/>
    </row>
    <row r="802" spans="6:7" x14ac:dyDescent="0.3">
      <c r="F802" s="23"/>
      <c r="G802" s="25"/>
    </row>
    <row r="803" spans="6:7" x14ac:dyDescent="0.3">
      <c r="F803" s="23"/>
      <c r="G803" s="25"/>
    </row>
    <row r="804" spans="6:7" x14ac:dyDescent="0.3">
      <c r="F804" s="23"/>
      <c r="G804" s="25"/>
    </row>
    <row r="805" spans="6:7" x14ac:dyDescent="0.3">
      <c r="F805" s="23"/>
      <c r="G805" s="25"/>
    </row>
    <row r="806" spans="6:7" x14ac:dyDescent="0.3">
      <c r="F806" s="23"/>
      <c r="G806" s="25"/>
    </row>
    <row r="807" spans="6:7" x14ac:dyDescent="0.3">
      <c r="F807" s="23"/>
      <c r="G807" s="25"/>
    </row>
    <row r="808" spans="6:7" x14ac:dyDescent="0.3">
      <c r="F808" s="23"/>
      <c r="G808" s="25"/>
    </row>
    <row r="809" spans="6:7" x14ac:dyDescent="0.3">
      <c r="F809" s="23"/>
      <c r="G809" s="25"/>
    </row>
    <row r="810" spans="6:7" x14ac:dyDescent="0.3">
      <c r="F810" s="23"/>
      <c r="G810" s="25"/>
    </row>
    <row r="811" spans="6:7" x14ac:dyDescent="0.3">
      <c r="F811" s="23"/>
      <c r="G811" s="25"/>
    </row>
    <row r="812" spans="6:7" x14ac:dyDescent="0.3">
      <c r="F812" s="23"/>
      <c r="G812" s="25"/>
    </row>
    <row r="813" spans="6:7" x14ac:dyDescent="0.3">
      <c r="F813" s="23"/>
      <c r="G813" s="25"/>
    </row>
    <row r="814" spans="6:7" x14ac:dyDescent="0.3">
      <c r="F814" s="23"/>
      <c r="G814" s="25"/>
    </row>
    <row r="815" spans="6:7" x14ac:dyDescent="0.3">
      <c r="F815" s="23"/>
      <c r="G815" s="25"/>
    </row>
    <row r="816" spans="6:7" x14ac:dyDescent="0.3">
      <c r="F816" s="23"/>
      <c r="G816" s="25"/>
    </row>
    <row r="817" spans="6:7" x14ac:dyDescent="0.3">
      <c r="F817" s="23"/>
      <c r="G817" s="25"/>
    </row>
    <row r="818" spans="6:7" x14ac:dyDescent="0.3">
      <c r="F818" s="23"/>
      <c r="G818" s="25"/>
    </row>
    <row r="819" spans="6:7" x14ac:dyDescent="0.3">
      <c r="F819" s="23"/>
      <c r="G819" s="25"/>
    </row>
    <row r="820" spans="6:7" x14ac:dyDescent="0.3">
      <c r="F820" s="23"/>
      <c r="G820" s="25"/>
    </row>
    <row r="821" spans="6:7" x14ac:dyDescent="0.3">
      <c r="F821" s="23"/>
      <c r="G821" s="25"/>
    </row>
    <row r="822" spans="6:7" x14ac:dyDescent="0.3">
      <c r="F822" s="23"/>
      <c r="G822" s="25"/>
    </row>
    <row r="823" spans="6:7" x14ac:dyDescent="0.3">
      <c r="F823" s="23"/>
      <c r="G823" s="25"/>
    </row>
    <row r="824" spans="6:7" x14ac:dyDescent="0.3">
      <c r="F824" s="23"/>
      <c r="G824" s="25"/>
    </row>
    <row r="825" spans="6:7" x14ac:dyDescent="0.3">
      <c r="F825" s="23"/>
      <c r="G825" s="25"/>
    </row>
    <row r="826" spans="6:7" x14ac:dyDescent="0.3">
      <c r="F826" s="23"/>
      <c r="G826" s="25"/>
    </row>
    <row r="827" spans="6:7" x14ac:dyDescent="0.3">
      <c r="F827" s="23"/>
      <c r="G827" s="25"/>
    </row>
    <row r="828" spans="6:7" x14ac:dyDescent="0.3">
      <c r="F828" s="23"/>
      <c r="G828" s="25"/>
    </row>
    <row r="829" spans="6:7" x14ac:dyDescent="0.3">
      <c r="F829" s="23"/>
      <c r="G829" s="25"/>
    </row>
    <row r="830" spans="6:7" x14ac:dyDescent="0.3">
      <c r="F830" s="23"/>
      <c r="G830" s="25"/>
    </row>
    <row r="831" spans="6:7" x14ac:dyDescent="0.3">
      <c r="F831" s="23"/>
      <c r="G831" s="25"/>
    </row>
    <row r="832" spans="6:7" x14ac:dyDescent="0.3">
      <c r="F832" s="23"/>
      <c r="G832" s="25"/>
    </row>
    <row r="833" spans="6:7" x14ac:dyDescent="0.3">
      <c r="F833" s="23"/>
      <c r="G833" s="25"/>
    </row>
    <row r="834" spans="6:7" x14ac:dyDescent="0.3">
      <c r="F834" s="23"/>
      <c r="G834" s="25"/>
    </row>
    <row r="835" spans="6:7" x14ac:dyDescent="0.3">
      <c r="F835" s="23"/>
      <c r="G835" s="25"/>
    </row>
    <row r="836" spans="6:7" x14ac:dyDescent="0.3">
      <c r="F836" s="23"/>
      <c r="G836" s="25"/>
    </row>
    <row r="837" spans="6:7" x14ac:dyDescent="0.3">
      <c r="F837" s="23"/>
      <c r="G837" s="25"/>
    </row>
    <row r="838" spans="6:7" x14ac:dyDescent="0.3">
      <c r="F838" s="23"/>
      <c r="G838" s="25"/>
    </row>
    <row r="839" spans="6:7" x14ac:dyDescent="0.3">
      <c r="F839" s="23"/>
      <c r="G839" s="25"/>
    </row>
    <row r="840" spans="6:7" x14ac:dyDescent="0.3">
      <c r="F840" s="23"/>
      <c r="G840" s="25"/>
    </row>
    <row r="841" spans="6:7" x14ac:dyDescent="0.3">
      <c r="F841" s="23"/>
      <c r="G841" s="25"/>
    </row>
    <row r="842" spans="6:7" x14ac:dyDescent="0.3">
      <c r="F842" s="23"/>
      <c r="G842" s="25"/>
    </row>
    <row r="843" spans="6:7" x14ac:dyDescent="0.3">
      <c r="F843" s="23"/>
      <c r="G843" s="25"/>
    </row>
    <row r="844" spans="6:7" x14ac:dyDescent="0.3">
      <c r="F844" s="23"/>
      <c r="G844" s="25"/>
    </row>
    <row r="845" spans="6:7" x14ac:dyDescent="0.3">
      <c r="F845" s="23"/>
      <c r="G845" s="25"/>
    </row>
    <row r="846" spans="6:7" x14ac:dyDescent="0.3">
      <c r="F846" s="23"/>
      <c r="G846" s="25"/>
    </row>
    <row r="847" spans="6:7" x14ac:dyDescent="0.3">
      <c r="F847" s="23"/>
      <c r="G847" s="25"/>
    </row>
    <row r="848" spans="6:7" x14ac:dyDescent="0.3">
      <c r="F848" s="23"/>
      <c r="G848" s="25"/>
    </row>
    <row r="849" spans="6:7" x14ac:dyDescent="0.3">
      <c r="F849" s="23"/>
      <c r="G849" s="25"/>
    </row>
    <row r="850" spans="6:7" x14ac:dyDescent="0.3">
      <c r="F850" s="23"/>
      <c r="G850" s="25"/>
    </row>
    <row r="851" spans="6:7" x14ac:dyDescent="0.3">
      <c r="F851" s="23"/>
      <c r="G851" s="25"/>
    </row>
    <row r="852" spans="6:7" x14ac:dyDescent="0.3">
      <c r="F852" s="23"/>
      <c r="G852" s="25"/>
    </row>
    <row r="853" spans="6:7" x14ac:dyDescent="0.3">
      <c r="F853" s="23"/>
      <c r="G853" s="25"/>
    </row>
    <row r="854" spans="6:7" x14ac:dyDescent="0.3">
      <c r="F854" s="23"/>
      <c r="G854" s="25"/>
    </row>
    <row r="855" spans="6:7" x14ac:dyDescent="0.3">
      <c r="F855" s="23"/>
      <c r="G855" s="25"/>
    </row>
    <row r="856" spans="6:7" x14ac:dyDescent="0.3">
      <c r="F856" s="23"/>
      <c r="G856" s="25"/>
    </row>
    <row r="857" spans="6:7" x14ac:dyDescent="0.3">
      <c r="F857" s="23"/>
      <c r="G857" s="25"/>
    </row>
    <row r="858" spans="6:7" x14ac:dyDescent="0.3">
      <c r="F858" s="23"/>
      <c r="G858" s="25"/>
    </row>
    <row r="859" spans="6:7" x14ac:dyDescent="0.3">
      <c r="F859" s="23"/>
      <c r="G859" s="25"/>
    </row>
    <row r="860" spans="6:7" x14ac:dyDescent="0.3">
      <c r="F860" s="23"/>
      <c r="G860" s="25"/>
    </row>
    <row r="861" spans="6:7" x14ac:dyDescent="0.3">
      <c r="F861" s="23"/>
      <c r="G861" s="25"/>
    </row>
    <row r="862" spans="6:7" x14ac:dyDescent="0.3">
      <c r="F862" s="23"/>
      <c r="G862" s="25"/>
    </row>
    <row r="863" spans="6:7" x14ac:dyDescent="0.3">
      <c r="F863" s="23"/>
      <c r="G863" s="25"/>
    </row>
    <row r="864" spans="6:7" x14ac:dyDescent="0.3">
      <c r="F864" s="23"/>
      <c r="G864" s="25"/>
    </row>
    <row r="865" spans="6:7" x14ac:dyDescent="0.3">
      <c r="F865" s="23"/>
      <c r="G865" s="25"/>
    </row>
    <row r="866" spans="6:7" x14ac:dyDescent="0.3">
      <c r="F866" s="23"/>
      <c r="G866" s="25"/>
    </row>
    <row r="867" spans="6:7" x14ac:dyDescent="0.3">
      <c r="F867" s="23"/>
      <c r="G867" s="25"/>
    </row>
    <row r="868" spans="6:7" x14ac:dyDescent="0.3">
      <c r="F868" s="23"/>
      <c r="G868" s="25"/>
    </row>
    <row r="869" spans="6:7" x14ac:dyDescent="0.3">
      <c r="F869" s="23"/>
      <c r="G869" s="25"/>
    </row>
    <row r="870" spans="6:7" x14ac:dyDescent="0.3">
      <c r="F870" s="23"/>
      <c r="G870" s="25"/>
    </row>
    <row r="871" spans="6:7" x14ac:dyDescent="0.3">
      <c r="F871" s="23"/>
      <c r="G871" s="25"/>
    </row>
    <row r="872" spans="6:7" x14ac:dyDescent="0.3">
      <c r="F872" s="23"/>
      <c r="G872" s="25"/>
    </row>
    <row r="873" spans="6:7" x14ac:dyDescent="0.3">
      <c r="F873" s="23"/>
      <c r="G873" s="25"/>
    </row>
    <row r="874" spans="6:7" x14ac:dyDescent="0.3">
      <c r="F874" s="23"/>
      <c r="G874" s="25"/>
    </row>
    <row r="875" spans="6:7" x14ac:dyDescent="0.3">
      <c r="F875" s="23"/>
      <c r="G875" s="25"/>
    </row>
    <row r="876" spans="6:7" x14ac:dyDescent="0.3">
      <c r="F876" s="23"/>
      <c r="G876" s="25"/>
    </row>
    <row r="877" spans="6:7" x14ac:dyDescent="0.3">
      <c r="F877" s="23"/>
      <c r="G877" s="25"/>
    </row>
    <row r="878" spans="6:7" x14ac:dyDescent="0.3">
      <c r="F878" s="23"/>
      <c r="G878" s="25"/>
    </row>
    <row r="879" spans="6:7" x14ac:dyDescent="0.3">
      <c r="F879" s="23"/>
      <c r="G879" s="25"/>
    </row>
    <row r="880" spans="6:7" x14ac:dyDescent="0.3">
      <c r="F880" s="23"/>
      <c r="G880" s="25"/>
    </row>
    <row r="881" spans="6:7" x14ac:dyDescent="0.3">
      <c r="F881" s="23"/>
      <c r="G881" s="25"/>
    </row>
    <row r="882" spans="6:7" x14ac:dyDescent="0.3">
      <c r="F882" s="23"/>
      <c r="G882" s="25"/>
    </row>
    <row r="883" spans="6:7" x14ac:dyDescent="0.3">
      <c r="F883" s="23"/>
      <c r="G883" s="25"/>
    </row>
    <row r="884" spans="6:7" x14ac:dyDescent="0.3">
      <c r="F884" s="23"/>
      <c r="G884" s="25"/>
    </row>
    <row r="885" spans="6:7" x14ac:dyDescent="0.3">
      <c r="F885" s="23"/>
      <c r="G885" s="25"/>
    </row>
    <row r="886" spans="6:7" x14ac:dyDescent="0.3">
      <c r="F886" s="23"/>
      <c r="G886" s="25"/>
    </row>
    <row r="887" spans="6:7" x14ac:dyDescent="0.3">
      <c r="F887" s="23"/>
      <c r="G887" s="25"/>
    </row>
    <row r="888" spans="6:7" x14ac:dyDescent="0.3">
      <c r="F888" s="23"/>
      <c r="G888" s="25"/>
    </row>
    <row r="889" spans="6:7" x14ac:dyDescent="0.3">
      <c r="F889" s="23"/>
      <c r="G889" s="25"/>
    </row>
    <row r="890" spans="6:7" x14ac:dyDescent="0.3">
      <c r="F890" s="23"/>
      <c r="G890" s="25"/>
    </row>
    <row r="891" spans="6:7" x14ac:dyDescent="0.3">
      <c r="F891" s="23"/>
      <c r="G891" s="25"/>
    </row>
    <row r="892" spans="6:7" x14ac:dyDescent="0.3">
      <c r="F892" s="23"/>
      <c r="G892" s="25"/>
    </row>
    <row r="893" spans="6:7" x14ac:dyDescent="0.3">
      <c r="F893" s="23"/>
      <c r="G893" s="25"/>
    </row>
    <row r="894" spans="6:7" x14ac:dyDescent="0.3">
      <c r="F894" s="23"/>
      <c r="G894" s="25"/>
    </row>
    <row r="895" spans="6:7" x14ac:dyDescent="0.3">
      <c r="F895" s="23"/>
      <c r="G895" s="25"/>
    </row>
    <row r="896" spans="6:7" x14ac:dyDescent="0.3">
      <c r="F896" s="23"/>
      <c r="G896" s="25"/>
    </row>
    <row r="897" spans="6:7" x14ac:dyDescent="0.3">
      <c r="F897" s="23"/>
      <c r="G897" s="25"/>
    </row>
    <row r="898" spans="6:7" x14ac:dyDescent="0.3">
      <c r="F898" s="23"/>
      <c r="G898" s="25"/>
    </row>
    <row r="899" spans="6:7" x14ac:dyDescent="0.3">
      <c r="F899" s="23"/>
      <c r="G899" s="25"/>
    </row>
    <row r="900" spans="6:7" x14ac:dyDescent="0.3">
      <c r="F900" s="23"/>
      <c r="G900" s="25"/>
    </row>
    <row r="901" spans="6:7" x14ac:dyDescent="0.3">
      <c r="F901" s="23"/>
      <c r="G901" s="25"/>
    </row>
    <row r="902" spans="6:7" x14ac:dyDescent="0.3">
      <c r="F902" s="23"/>
      <c r="G902" s="25"/>
    </row>
    <row r="903" spans="6:7" x14ac:dyDescent="0.3">
      <c r="F903" s="23"/>
      <c r="G903" s="25"/>
    </row>
    <row r="904" spans="6:7" x14ac:dyDescent="0.3">
      <c r="F904" s="23"/>
      <c r="G904" s="25"/>
    </row>
    <row r="905" spans="6:7" x14ac:dyDescent="0.3">
      <c r="F905" s="23"/>
      <c r="G905" s="25"/>
    </row>
    <row r="906" spans="6:7" x14ac:dyDescent="0.3">
      <c r="F906" s="23"/>
      <c r="G906" s="25"/>
    </row>
    <row r="907" spans="6:7" x14ac:dyDescent="0.3">
      <c r="F907" s="23"/>
      <c r="G907" s="25"/>
    </row>
    <row r="908" spans="6:7" x14ac:dyDescent="0.3">
      <c r="F908" s="23"/>
      <c r="G908" s="25"/>
    </row>
    <row r="909" spans="6:7" x14ac:dyDescent="0.3">
      <c r="F909" s="23"/>
      <c r="G909" s="25"/>
    </row>
    <row r="910" spans="6:7" x14ac:dyDescent="0.3">
      <c r="F910" s="23"/>
      <c r="G910" s="25"/>
    </row>
    <row r="911" spans="6:7" x14ac:dyDescent="0.3">
      <c r="F911" s="23"/>
      <c r="G911" s="25"/>
    </row>
    <row r="912" spans="6:7" x14ac:dyDescent="0.3">
      <c r="F912" s="23"/>
      <c r="G912" s="25"/>
    </row>
    <row r="913" spans="6:7" x14ac:dyDescent="0.3">
      <c r="F913" s="23"/>
      <c r="G913" s="25"/>
    </row>
    <row r="914" spans="6:7" x14ac:dyDescent="0.3">
      <c r="F914" s="23"/>
      <c r="G914" s="25"/>
    </row>
    <row r="915" spans="6:7" x14ac:dyDescent="0.3">
      <c r="F915" s="23"/>
      <c r="G915" s="25"/>
    </row>
    <row r="916" spans="6:7" x14ac:dyDescent="0.3">
      <c r="F916" s="23"/>
      <c r="G916" s="25"/>
    </row>
    <row r="917" spans="6:7" x14ac:dyDescent="0.3">
      <c r="F917" s="23"/>
      <c r="G917" s="25"/>
    </row>
    <row r="918" spans="6:7" x14ac:dyDescent="0.3">
      <c r="F918" s="23"/>
      <c r="G918" s="25"/>
    </row>
    <row r="919" spans="6:7" x14ac:dyDescent="0.3">
      <c r="F919" s="23"/>
      <c r="G919" s="25"/>
    </row>
    <row r="920" spans="6:7" x14ac:dyDescent="0.3">
      <c r="F920" s="23"/>
      <c r="G920" s="25"/>
    </row>
    <row r="921" spans="6:7" x14ac:dyDescent="0.3">
      <c r="F921" s="23"/>
      <c r="G921" s="25"/>
    </row>
    <row r="922" spans="6:7" x14ac:dyDescent="0.3">
      <c r="F922" s="23"/>
      <c r="G922" s="25"/>
    </row>
    <row r="923" spans="6:7" x14ac:dyDescent="0.3">
      <c r="F923" s="23"/>
      <c r="G923" s="25"/>
    </row>
    <row r="924" spans="6:7" x14ac:dyDescent="0.3">
      <c r="F924" s="23"/>
      <c r="G924" s="25"/>
    </row>
    <row r="925" spans="6:7" x14ac:dyDescent="0.3">
      <c r="F925" s="23"/>
      <c r="G925" s="25"/>
    </row>
    <row r="926" spans="6:7" x14ac:dyDescent="0.3">
      <c r="F926" s="23"/>
      <c r="G926" s="25"/>
    </row>
    <row r="927" spans="6:7" x14ac:dyDescent="0.3">
      <c r="F927" s="23"/>
      <c r="G927" s="25"/>
    </row>
    <row r="928" spans="6:7" x14ac:dyDescent="0.3">
      <c r="F928" s="23"/>
      <c r="G928" s="25"/>
    </row>
    <row r="929" spans="6:7" x14ac:dyDescent="0.3">
      <c r="F929" s="23"/>
      <c r="G929" s="25"/>
    </row>
    <row r="930" spans="6:7" x14ac:dyDescent="0.3">
      <c r="F930" s="23"/>
      <c r="G930" s="25"/>
    </row>
    <row r="931" spans="6:7" x14ac:dyDescent="0.3">
      <c r="F931" s="23"/>
      <c r="G931" s="25"/>
    </row>
    <row r="932" spans="6:7" x14ac:dyDescent="0.3">
      <c r="F932" s="23"/>
      <c r="G932" s="25"/>
    </row>
    <row r="933" spans="6:7" x14ac:dyDescent="0.3">
      <c r="F933" s="23"/>
      <c r="G933" s="25"/>
    </row>
    <row r="934" spans="6:7" x14ac:dyDescent="0.3">
      <c r="F934" s="23"/>
      <c r="G934" s="25"/>
    </row>
    <row r="935" spans="6:7" x14ac:dyDescent="0.3">
      <c r="F935" s="23"/>
      <c r="G935" s="25"/>
    </row>
    <row r="936" spans="6:7" x14ac:dyDescent="0.3">
      <c r="F936" s="23"/>
      <c r="G936" s="25"/>
    </row>
    <row r="937" spans="6:7" x14ac:dyDescent="0.3">
      <c r="F937" s="23"/>
      <c r="G937" s="25"/>
    </row>
    <row r="938" spans="6:7" x14ac:dyDescent="0.3">
      <c r="F938" s="23"/>
      <c r="G938" s="25"/>
    </row>
    <row r="939" spans="6:7" x14ac:dyDescent="0.3">
      <c r="F939" s="23"/>
      <c r="G939" s="25"/>
    </row>
    <row r="940" spans="6:7" x14ac:dyDescent="0.3">
      <c r="F940" s="23"/>
      <c r="G940" s="25"/>
    </row>
    <row r="941" spans="6:7" x14ac:dyDescent="0.3">
      <c r="F941" s="23"/>
      <c r="G941" s="25"/>
    </row>
    <row r="942" spans="6:7" x14ac:dyDescent="0.3">
      <c r="F942" s="23"/>
      <c r="G942" s="25"/>
    </row>
    <row r="943" spans="6:7" x14ac:dyDescent="0.3">
      <c r="F943" s="23"/>
      <c r="G943" s="25"/>
    </row>
    <row r="944" spans="6:7" x14ac:dyDescent="0.3">
      <c r="F944" s="23"/>
      <c r="G944" s="25"/>
    </row>
    <row r="945" spans="6:7" x14ac:dyDescent="0.3">
      <c r="F945" s="23"/>
      <c r="G945" s="25"/>
    </row>
    <row r="946" spans="6:7" x14ac:dyDescent="0.3">
      <c r="F946" s="23"/>
      <c r="G946" s="25"/>
    </row>
    <row r="947" spans="6:7" x14ac:dyDescent="0.3">
      <c r="F947" s="23"/>
      <c r="G947" s="25"/>
    </row>
    <row r="948" spans="6:7" x14ac:dyDescent="0.3">
      <c r="F948" s="23"/>
      <c r="G948" s="25"/>
    </row>
    <row r="949" spans="6:7" x14ac:dyDescent="0.3">
      <c r="F949" s="23"/>
      <c r="G949" s="25"/>
    </row>
    <row r="950" spans="6:7" x14ac:dyDescent="0.3">
      <c r="F950" s="23"/>
      <c r="G950" s="25"/>
    </row>
    <row r="951" spans="6:7" x14ac:dyDescent="0.3">
      <c r="F951" s="23"/>
      <c r="G951" s="25"/>
    </row>
    <row r="952" spans="6:7" x14ac:dyDescent="0.3">
      <c r="F952" s="23"/>
      <c r="G952" s="25"/>
    </row>
    <row r="953" spans="6:7" x14ac:dyDescent="0.3">
      <c r="F953" s="23"/>
      <c r="G953" s="25"/>
    </row>
    <row r="954" spans="6:7" x14ac:dyDescent="0.3">
      <c r="F954" s="23"/>
      <c r="G954" s="25"/>
    </row>
    <row r="955" spans="6:7" x14ac:dyDescent="0.3">
      <c r="F955" s="23"/>
      <c r="G955" s="25"/>
    </row>
    <row r="956" spans="6:7" x14ac:dyDescent="0.3">
      <c r="F956" s="23"/>
      <c r="G956" s="25"/>
    </row>
    <row r="957" spans="6:7" x14ac:dyDescent="0.3">
      <c r="F957" s="23"/>
      <c r="G957" s="25"/>
    </row>
    <row r="958" spans="6:7" x14ac:dyDescent="0.3">
      <c r="F958" s="23"/>
      <c r="G958" s="25"/>
    </row>
    <row r="959" spans="6:7" x14ac:dyDescent="0.3">
      <c r="F959" s="23"/>
      <c r="G959" s="25"/>
    </row>
    <row r="960" spans="6:7" x14ac:dyDescent="0.3">
      <c r="F960" s="23"/>
      <c r="G960" s="25"/>
    </row>
    <row r="961" spans="6:7" x14ac:dyDescent="0.3">
      <c r="F961" s="23"/>
      <c r="G961" s="25"/>
    </row>
    <row r="962" spans="6:7" x14ac:dyDescent="0.3">
      <c r="F962" s="23"/>
      <c r="G962" s="25"/>
    </row>
    <row r="963" spans="6:7" x14ac:dyDescent="0.3">
      <c r="F963" s="23"/>
      <c r="G963" s="25"/>
    </row>
    <row r="964" spans="6:7" x14ac:dyDescent="0.3">
      <c r="F964" s="23"/>
      <c r="G964" s="25"/>
    </row>
    <row r="965" spans="6:7" x14ac:dyDescent="0.3">
      <c r="F965" s="23"/>
      <c r="G965" s="25"/>
    </row>
    <row r="966" spans="6:7" x14ac:dyDescent="0.3">
      <c r="F966" s="23"/>
      <c r="G966" s="25"/>
    </row>
    <row r="967" spans="6:7" x14ac:dyDescent="0.3">
      <c r="F967" s="23"/>
      <c r="G967" s="25"/>
    </row>
    <row r="968" spans="6:7" x14ac:dyDescent="0.3">
      <c r="F968" s="23"/>
      <c r="G968" s="25"/>
    </row>
    <row r="969" spans="6:7" x14ac:dyDescent="0.3">
      <c r="F969" s="23"/>
      <c r="G969" s="25"/>
    </row>
    <row r="970" spans="6:7" x14ac:dyDescent="0.3">
      <c r="F970" s="23"/>
      <c r="G970" s="25"/>
    </row>
    <row r="971" spans="6:7" x14ac:dyDescent="0.3">
      <c r="F971" s="23"/>
      <c r="G971" s="25"/>
    </row>
    <row r="972" spans="6:7" x14ac:dyDescent="0.3">
      <c r="F972" s="23"/>
      <c r="G972" s="25"/>
    </row>
    <row r="973" spans="6:7" x14ac:dyDescent="0.3">
      <c r="F973" s="23"/>
      <c r="G973" s="25"/>
    </row>
    <row r="974" spans="6:7" x14ac:dyDescent="0.3">
      <c r="F974" s="23"/>
      <c r="G974" s="25"/>
    </row>
    <row r="975" spans="6:7" x14ac:dyDescent="0.3">
      <c r="F975" s="23"/>
      <c r="G975" s="25"/>
    </row>
    <row r="976" spans="6:7" x14ac:dyDescent="0.3">
      <c r="F976" s="23"/>
      <c r="G976" s="25"/>
    </row>
    <row r="977" spans="6:7" x14ac:dyDescent="0.3">
      <c r="F977" s="23"/>
      <c r="G977" s="25"/>
    </row>
    <row r="978" spans="6:7" x14ac:dyDescent="0.3">
      <c r="F978" s="23"/>
      <c r="G978" s="25"/>
    </row>
    <row r="979" spans="6:7" x14ac:dyDescent="0.3">
      <c r="F979" s="23"/>
      <c r="G979" s="25"/>
    </row>
    <row r="980" spans="6:7" x14ac:dyDescent="0.3">
      <c r="F980" s="23"/>
      <c r="G980" s="25"/>
    </row>
    <row r="981" spans="6:7" x14ac:dyDescent="0.3">
      <c r="F981" s="23"/>
      <c r="G981" s="25"/>
    </row>
    <row r="982" spans="6:7" x14ac:dyDescent="0.3">
      <c r="F982" s="23"/>
      <c r="G982" s="25"/>
    </row>
    <row r="983" spans="6:7" x14ac:dyDescent="0.3">
      <c r="F983" s="23"/>
      <c r="G983" s="25"/>
    </row>
    <row r="984" spans="6:7" x14ac:dyDescent="0.3">
      <c r="F984" s="23"/>
      <c r="G984" s="25"/>
    </row>
    <row r="985" spans="6:7" x14ac:dyDescent="0.3">
      <c r="F985" s="23"/>
      <c r="G985" s="25"/>
    </row>
    <row r="986" spans="6:7" x14ac:dyDescent="0.3">
      <c r="F986" s="23"/>
      <c r="G986" s="25"/>
    </row>
    <row r="987" spans="6:7" x14ac:dyDescent="0.3">
      <c r="F987" s="23"/>
      <c r="G987" s="25"/>
    </row>
    <row r="988" spans="6:7" x14ac:dyDescent="0.3">
      <c r="F988" s="23"/>
      <c r="G988" s="25"/>
    </row>
    <row r="989" spans="6:7" x14ac:dyDescent="0.3">
      <c r="F989" s="23"/>
      <c r="G989" s="25"/>
    </row>
    <row r="990" spans="6:7" x14ac:dyDescent="0.3">
      <c r="F990" s="23"/>
      <c r="G990" s="25"/>
    </row>
    <row r="991" spans="6:7" x14ac:dyDescent="0.3">
      <c r="F991" s="23"/>
      <c r="G991" s="25"/>
    </row>
    <row r="992" spans="6:7" x14ac:dyDescent="0.3">
      <c r="F992" s="23"/>
      <c r="G992" s="25"/>
    </row>
    <row r="993" spans="6:7" x14ac:dyDescent="0.3">
      <c r="F993" s="23"/>
      <c r="G993" s="25"/>
    </row>
    <row r="994" spans="6:7" x14ac:dyDescent="0.3">
      <c r="F994" s="23"/>
      <c r="G994" s="25"/>
    </row>
    <row r="995" spans="6:7" x14ac:dyDescent="0.3">
      <c r="F995" s="23"/>
      <c r="G995" s="25"/>
    </row>
    <row r="996" spans="6:7" x14ac:dyDescent="0.3">
      <c r="F996" s="23"/>
      <c r="G996" s="25"/>
    </row>
    <row r="997" spans="6:7" x14ac:dyDescent="0.3">
      <c r="F997" s="23"/>
      <c r="G997" s="25"/>
    </row>
    <row r="998" spans="6:7" x14ac:dyDescent="0.3">
      <c r="F998" s="23"/>
      <c r="G998" s="25"/>
    </row>
    <row r="999" spans="6:7" x14ac:dyDescent="0.3">
      <c r="F999" s="23"/>
      <c r="G999" s="25"/>
    </row>
    <row r="1000" spans="6:7" x14ac:dyDescent="0.3">
      <c r="F1000" s="23"/>
      <c r="G1000"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31FAB-B96E-4638-8484-45747903DB86}">
  <dimension ref="A1:T1000"/>
  <sheetViews>
    <sheetView tabSelected="1" workbookViewId="0">
      <selection sqref="A1:XFD1048576"/>
    </sheetView>
  </sheetViews>
  <sheetFormatPr defaultColWidth="14.44140625" defaultRowHeight="14.4" x14ac:dyDescent="0.3"/>
  <cols>
    <col min="1" max="1" width="40.5546875" customWidth="1"/>
    <col min="4" max="4" width="57.88671875" customWidth="1"/>
    <col min="5" max="5" width="15.6640625" customWidth="1"/>
    <col min="6" max="6" width="27.5546875" customWidth="1"/>
    <col min="7" max="7" width="19.21875" customWidth="1"/>
    <col min="8" max="8" width="66.33203125" customWidth="1"/>
    <col min="10" max="10" width="21.109375" customWidth="1"/>
    <col min="11" max="11" width="57.5546875" customWidth="1"/>
  </cols>
  <sheetData>
    <row r="1" spans="1:20" ht="27.6" x14ac:dyDescent="0.3">
      <c r="A1" s="27" t="s">
        <v>252</v>
      </c>
      <c r="B1" s="27" t="s">
        <v>253</v>
      </c>
      <c r="C1" s="27" t="s">
        <v>2</v>
      </c>
      <c r="D1" s="27" t="s">
        <v>4</v>
      </c>
      <c r="E1" s="27" t="s">
        <v>254</v>
      </c>
      <c r="F1" s="16" t="s">
        <v>34</v>
      </c>
      <c r="G1" s="16" t="s">
        <v>40</v>
      </c>
      <c r="H1" s="28" t="s">
        <v>255</v>
      </c>
      <c r="I1" s="28" t="s">
        <v>256</v>
      </c>
      <c r="J1" s="28" t="s">
        <v>257</v>
      </c>
      <c r="K1" s="29" t="s">
        <v>6</v>
      </c>
      <c r="L1" s="30"/>
      <c r="M1" s="30"/>
      <c r="N1" s="30"/>
      <c r="O1" s="30"/>
      <c r="P1" s="30"/>
      <c r="Q1" s="30"/>
      <c r="R1" s="30"/>
      <c r="S1" s="30"/>
      <c r="T1" s="30"/>
    </row>
    <row r="2" spans="1:20" x14ac:dyDescent="0.3">
      <c r="A2" s="31" t="s">
        <v>258</v>
      </c>
      <c r="B2" s="32">
        <v>3.7</v>
      </c>
      <c r="C2" s="32">
        <v>0.14299999999999999</v>
      </c>
      <c r="D2" s="33" t="s">
        <v>259</v>
      </c>
      <c r="E2" s="32">
        <v>6</v>
      </c>
      <c r="F2" s="33" t="s">
        <v>260</v>
      </c>
      <c r="G2" s="32">
        <v>2</v>
      </c>
      <c r="H2" s="33" t="s">
        <v>261</v>
      </c>
      <c r="I2" s="32">
        <v>29</v>
      </c>
      <c r="J2" s="33" t="s">
        <v>262</v>
      </c>
      <c r="K2" s="34" t="s">
        <v>263</v>
      </c>
    </row>
    <row r="3" spans="1:20" x14ac:dyDescent="0.3">
      <c r="A3" s="31" t="s">
        <v>264</v>
      </c>
      <c r="B3" s="32">
        <v>2.4500000000000002</v>
      </c>
      <c r="C3" s="32">
        <v>0.129</v>
      </c>
      <c r="D3" s="33" t="s">
        <v>265</v>
      </c>
      <c r="E3" s="32">
        <v>4</v>
      </c>
      <c r="F3" s="33" t="s">
        <v>266</v>
      </c>
      <c r="G3" s="32">
        <v>0</v>
      </c>
      <c r="H3" s="33" t="s">
        <v>267</v>
      </c>
      <c r="I3" s="32">
        <v>18</v>
      </c>
      <c r="J3" s="33" t="s">
        <v>262</v>
      </c>
      <c r="K3" s="34" t="s">
        <v>268</v>
      </c>
    </row>
    <row r="4" spans="1:20" x14ac:dyDescent="0.3">
      <c r="A4" s="31" t="s">
        <v>269</v>
      </c>
      <c r="B4" s="32">
        <v>2.17</v>
      </c>
      <c r="C4" s="32">
        <v>0.108</v>
      </c>
      <c r="D4" s="33" t="s">
        <v>270</v>
      </c>
      <c r="E4" s="32">
        <v>4</v>
      </c>
      <c r="F4" s="33" t="s">
        <v>271</v>
      </c>
      <c r="G4" s="32">
        <v>1</v>
      </c>
      <c r="H4" s="33" t="s">
        <v>272</v>
      </c>
      <c r="I4" s="32">
        <v>0</v>
      </c>
      <c r="J4" s="33" t="s">
        <v>273</v>
      </c>
      <c r="K4" s="35" t="s">
        <v>274</v>
      </c>
    </row>
    <row r="5" spans="1:20" x14ac:dyDescent="0.3">
      <c r="A5" s="31" t="s">
        <v>275</v>
      </c>
      <c r="B5" s="32">
        <v>4.41</v>
      </c>
      <c r="C5" s="32">
        <v>0.152</v>
      </c>
      <c r="D5" s="33" t="s">
        <v>276</v>
      </c>
      <c r="E5" s="32">
        <v>7</v>
      </c>
      <c r="F5" s="33" t="s">
        <v>277</v>
      </c>
      <c r="G5" s="32">
        <v>4</v>
      </c>
      <c r="H5" s="33" t="s">
        <v>278</v>
      </c>
      <c r="I5" s="32">
        <v>0</v>
      </c>
      <c r="J5" s="33" t="s">
        <v>273</v>
      </c>
      <c r="K5" s="35" t="s">
        <v>274</v>
      </c>
    </row>
    <row r="6" spans="1:20" x14ac:dyDescent="0.3">
      <c r="A6" s="31" t="s">
        <v>279</v>
      </c>
      <c r="B6" s="32">
        <v>2.58</v>
      </c>
      <c r="C6" s="32">
        <v>0.106</v>
      </c>
      <c r="D6" s="33" t="s">
        <v>280</v>
      </c>
      <c r="E6" s="32">
        <v>5</v>
      </c>
      <c r="F6" s="33" t="s">
        <v>281</v>
      </c>
      <c r="G6" s="32">
        <v>2</v>
      </c>
      <c r="H6" s="33" t="s">
        <v>282</v>
      </c>
      <c r="I6" s="32">
        <v>49</v>
      </c>
      <c r="J6" s="33" t="s">
        <v>262</v>
      </c>
      <c r="K6" s="34" t="s">
        <v>283</v>
      </c>
    </row>
    <row r="7" spans="1:20" x14ac:dyDescent="0.3">
      <c r="A7" s="31" t="s">
        <v>284</v>
      </c>
      <c r="B7" s="32">
        <v>2.88</v>
      </c>
      <c r="C7" s="32">
        <v>0.16700000000000001</v>
      </c>
      <c r="D7" s="33" t="s">
        <v>285</v>
      </c>
      <c r="E7" s="32">
        <v>4</v>
      </c>
      <c r="F7" s="33" t="s">
        <v>286</v>
      </c>
      <c r="G7" s="32">
        <v>2</v>
      </c>
      <c r="H7" s="33" t="s">
        <v>287</v>
      </c>
      <c r="I7" s="32">
        <v>0</v>
      </c>
      <c r="J7" s="33" t="s">
        <v>273</v>
      </c>
      <c r="K7" s="35" t="s">
        <v>274</v>
      </c>
    </row>
    <row r="8" spans="1:20" x14ac:dyDescent="0.3">
      <c r="A8" s="31" t="s">
        <v>288</v>
      </c>
      <c r="B8" s="32">
        <v>2.88</v>
      </c>
      <c r="C8" s="32">
        <v>0.16700000000000001</v>
      </c>
      <c r="D8" s="33" t="s">
        <v>285</v>
      </c>
      <c r="E8" s="32">
        <v>4</v>
      </c>
      <c r="F8" s="33" t="s">
        <v>286</v>
      </c>
      <c r="G8" s="32">
        <v>2</v>
      </c>
      <c r="H8" s="33" t="s">
        <v>289</v>
      </c>
      <c r="I8" s="32">
        <v>47</v>
      </c>
      <c r="J8" s="33" t="s">
        <v>262</v>
      </c>
      <c r="K8" s="34" t="s">
        <v>290</v>
      </c>
    </row>
    <row r="9" spans="1:20" x14ac:dyDescent="0.3">
      <c r="A9" s="31" t="s">
        <v>291</v>
      </c>
      <c r="B9" s="32">
        <v>2.4500000000000002</v>
      </c>
      <c r="C9" s="32">
        <v>0.129</v>
      </c>
      <c r="D9" s="33" t="s">
        <v>292</v>
      </c>
      <c r="E9" s="32">
        <v>4</v>
      </c>
      <c r="F9" s="33" t="s">
        <v>266</v>
      </c>
      <c r="G9" s="32">
        <v>0</v>
      </c>
      <c r="H9" s="33" t="s">
        <v>293</v>
      </c>
      <c r="I9" s="32">
        <v>263</v>
      </c>
      <c r="J9" s="33" t="s">
        <v>262</v>
      </c>
      <c r="K9" s="34" t="s">
        <v>294</v>
      </c>
    </row>
    <row r="10" spans="1:20" x14ac:dyDescent="0.3">
      <c r="A10" s="31" t="s">
        <v>295</v>
      </c>
      <c r="B10" s="32">
        <v>6.24</v>
      </c>
      <c r="C10" s="32">
        <v>0.184</v>
      </c>
      <c r="D10" s="33" t="s">
        <v>296</v>
      </c>
      <c r="E10" s="32">
        <v>9</v>
      </c>
      <c r="F10" s="33" t="s">
        <v>297</v>
      </c>
      <c r="G10" s="32">
        <v>1</v>
      </c>
      <c r="H10" s="33" t="s">
        <v>298</v>
      </c>
      <c r="I10" s="32">
        <v>287</v>
      </c>
      <c r="J10" s="33" t="s">
        <v>262</v>
      </c>
      <c r="K10" s="34" t="s">
        <v>299</v>
      </c>
    </row>
    <row r="11" spans="1:20" x14ac:dyDescent="0.3">
      <c r="A11" s="31" t="s">
        <v>300</v>
      </c>
      <c r="B11" s="32">
        <v>3.23</v>
      </c>
      <c r="C11" s="32">
        <v>0.11799999999999999</v>
      </c>
      <c r="D11" s="33" t="s">
        <v>301</v>
      </c>
      <c r="E11" s="32">
        <v>6</v>
      </c>
      <c r="F11" s="33" t="s">
        <v>297</v>
      </c>
      <c r="G11" s="32">
        <v>1</v>
      </c>
      <c r="H11" s="33" t="s">
        <v>302</v>
      </c>
      <c r="I11" s="32">
        <v>2</v>
      </c>
      <c r="J11" s="33" t="s">
        <v>262</v>
      </c>
      <c r="K11" s="35" t="s">
        <v>274</v>
      </c>
    </row>
    <row r="12" spans="1:20" x14ac:dyDescent="0.3">
      <c r="A12" s="31" t="s">
        <v>303</v>
      </c>
      <c r="B12" s="32">
        <v>3.59</v>
      </c>
      <c r="C12" s="32">
        <v>0.13600000000000001</v>
      </c>
      <c r="D12" s="33" t="s">
        <v>304</v>
      </c>
      <c r="E12" s="32">
        <v>6</v>
      </c>
      <c r="F12" s="33" t="s">
        <v>305</v>
      </c>
      <c r="G12" s="32">
        <v>2</v>
      </c>
      <c r="H12" s="33" t="s">
        <v>306</v>
      </c>
      <c r="I12" s="32">
        <v>47</v>
      </c>
      <c r="J12" s="33" t="s">
        <v>262</v>
      </c>
      <c r="K12" s="34" t="s">
        <v>307</v>
      </c>
    </row>
    <row r="13" spans="1:20" x14ac:dyDescent="0.3">
      <c r="A13" s="31" t="s">
        <v>308</v>
      </c>
      <c r="B13" s="32">
        <v>2.84</v>
      </c>
      <c r="C13" s="32">
        <v>0.122</v>
      </c>
      <c r="D13" s="33" t="s">
        <v>309</v>
      </c>
      <c r="E13" s="32">
        <v>5</v>
      </c>
      <c r="F13" s="33" t="s">
        <v>310</v>
      </c>
      <c r="G13" s="32">
        <v>1</v>
      </c>
      <c r="H13" s="33" t="s">
        <v>311</v>
      </c>
      <c r="I13" s="32">
        <v>0</v>
      </c>
      <c r="J13" s="33" t="s">
        <v>273</v>
      </c>
      <c r="K13" s="35" t="s">
        <v>274</v>
      </c>
    </row>
    <row r="14" spans="1:20" x14ac:dyDescent="0.3">
      <c r="A14" s="31" t="s">
        <v>312</v>
      </c>
      <c r="B14" s="32">
        <v>3.7</v>
      </c>
      <c r="C14" s="32">
        <v>0.14299999999999999</v>
      </c>
      <c r="D14" s="33" t="s">
        <v>313</v>
      </c>
      <c r="E14" s="32">
        <v>6</v>
      </c>
      <c r="F14" s="33" t="s">
        <v>314</v>
      </c>
      <c r="G14" s="32">
        <v>2</v>
      </c>
      <c r="H14" s="33" t="s">
        <v>315</v>
      </c>
      <c r="I14" s="32">
        <v>0</v>
      </c>
      <c r="J14" s="33" t="s">
        <v>273</v>
      </c>
      <c r="K14" s="35" t="s">
        <v>274</v>
      </c>
    </row>
    <row r="15" spans="1:20" x14ac:dyDescent="0.3">
      <c r="A15" s="31" t="s">
        <v>316</v>
      </c>
      <c r="B15" s="32">
        <v>4.2300000000000004</v>
      </c>
      <c r="C15" s="32">
        <v>0.17599999999999999</v>
      </c>
      <c r="D15" s="33" t="s">
        <v>317</v>
      </c>
      <c r="E15" s="32">
        <v>6</v>
      </c>
      <c r="F15" s="33" t="s">
        <v>318</v>
      </c>
      <c r="G15" s="32">
        <v>3</v>
      </c>
      <c r="H15" s="33" t="s">
        <v>319</v>
      </c>
      <c r="I15" s="32">
        <v>604</v>
      </c>
      <c r="J15" s="33" t="s">
        <v>262</v>
      </c>
      <c r="K15" s="34" t="s">
        <v>320</v>
      </c>
    </row>
    <row r="16" spans="1:20" x14ac:dyDescent="0.3">
      <c r="A16" s="31" t="s">
        <v>321</v>
      </c>
      <c r="B16" s="32">
        <v>2.0499999999999998</v>
      </c>
      <c r="C16" s="32">
        <v>0.1</v>
      </c>
      <c r="D16" s="33" t="s">
        <v>322</v>
      </c>
      <c r="E16" s="32">
        <v>4</v>
      </c>
      <c r="F16" s="33" t="s">
        <v>31</v>
      </c>
      <c r="G16" s="32">
        <v>1</v>
      </c>
      <c r="H16" s="33" t="s">
        <v>323</v>
      </c>
      <c r="I16" s="32">
        <v>58281</v>
      </c>
      <c r="J16" s="33" t="s">
        <v>262</v>
      </c>
      <c r="K16" s="34" t="s">
        <v>324</v>
      </c>
    </row>
    <row r="17" spans="1:1" x14ac:dyDescent="0.3">
      <c r="A17" s="36"/>
    </row>
    <row r="18" spans="1:1" x14ac:dyDescent="0.3">
      <c r="A18" s="36"/>
    </row>
    <row r="19" spans="1:1" x14ac:dyDescent="0.3">
      <c r="A19" s="36"/>
    </row>
    <row r="20" spans="1:1" x14ac:dyDescent="0.3">
      <c r="A20" s="36"/>
    </row>
    <row r="21" spans="1:1" x14ac:dyDescent="0.3">
      <c r="A21" s="36"/>
    </row>
    <row r="22" spans="1:1" x14ac:dyDescent="0.3">
      <c r="A22" s="36"/>
    </row>
    <row r="23" spans="1:1" x14ac:dyDescent="0.3">
      <c r="A23" s="36"/>
    </row>
    <row r="24" spans="1:1" x14ac:dyDescent="0.3">
      <c r="A24" s="36"/>
    </row>
    <row r="25" spans="1:1" x14ac:dyDescent="0.3">
      <c r="A25" s="36"/>
    </row>
    <row r="26" spans="1:1" x14ac:dyDescent="0.3">
      <c r="A26" s="36"/>
    </row>
    <row r="27" spans="1:1" x14ac:dyDescent="0.3">
      <c r="A27" s="36"/>
    </row>
    <row r="28" spans="1:1" x14ac:dyDescent="0.3">
      <c r="A28" s="36"/>
    </row>
    <row r="29" spans="1:1" x14ac:dyDescent="0.3">
      <c r="A29" s="36"/>
    </row>
    <row r="30" spans="1:1" x14ac:dyDescent="0.3">
      <c r="A30" s="36"/>
    </row>
    <row r="31" spans="1:1" x14ac:dyDescent="0.3">
      <c r="A31" s="36"/>
    </row>
    <row r="32" spans="1:1" x14ac:dyDescent="0.3">
      <c r="A32" s="36"/>
    </row>
    <row r="33" spans="1:1" x14ac:dyDescent="0.3">
      <c r="A33" s="36"/>
    </row>
    <row r="34" spans="1:1" x14ac:dyDescent="0.3">
      <c r="A34" s="36"/>
    </row>
    <row r="35" spans="1:1" x14ac:dyDescent="0.3">
      <c r="A35" s="36"/>
    </row>
    <row r="36" spans="1:1" x14ac:dyDescent="0.3">
      <c r="A36" s="36"/>
    </row>
    <row r="37" spans="1:1" x14ac:dyDescent="0.3">
      <c r="A37" s="36"/>
    </row>
    <row r="38" spans="1:1" x14ac:dyDescent="0.3">
      <c r="A38" s="36"/>
    </row>
    <row r="39" spans="1:1" x14ac:dyDescent="0.3">
      <c r="A39" s="36"/>
    </row>
    <row r="40" spans="1:1" x14ac:dyDescent="0.3">
      <c r="A40" s="36"/>
    </row>
    <row r="41" spans="1:1" x14ac:dyDescent="0.3">
      <c r="A41" s="36"/>
    </row>
    <row r="42" spans="1:1" x14ac:dyDescent="0.3">
      <c r="A42" s="36"/>
    </row>
    <row r="43" spans="1:1" x14ac:dyDescent="0.3">
      <c r="A43" s="36"/>
    </row>
    <row r="44" spans="1:1" x14ac:dyDescent="0.3">
      <c r="A44" s="36"/>
    </row>
    <row r="45" spans="1:1" x14ac:dyDescent="0.3">
      <c r="A45" s="36"/>
    </row>
    <row r="46" spans="1:1" x14ac:dyDescent="0.3">
      <c r="A46" s="36"/>
    </row>
    <row r="47" spans="1:1" x14ac:dyDescent="0.3">
      <c r="A47" s="36"/>
    </row>
    <row r="48" spans="1:1" x14ac:dyDescent="0.3">
      <c r="A48" s="36"/>
    </row>
    <row r="49" spans="1:1" x14ac:dyDescent="0.3">
      <c r="A49" s="36"/>
    </row>
    <row r="50" spans="1:1" x14ac:dyDescent="0.3">
      <c r="A50" s="36"/>
    </row>
    <row r="51" spans="1:1" x14ac:dyDescent="0.3">
      <c r="A51" s="36"/>
    </row>
    <row r="52" spans="1:1" x14ac:dyDescent="0.3">
      <c r="A52" s="36"/>
    </row>
    <row r="53" spans="1:1" x14ac:dyDescent="0.3">
      <c r="A53" s="36"/>
    </row>
    <row r="54" spans="1:1" x14ac:dyDescent="0.3">
      <c r="A54" s="36"/>
    </row>
    <row r="55" spans="1:1" x14ac:dyDescent="0.3">
      <c r="A55" s="36"/>
    </row>
    <row r="56" spans="1:1" x14ac:dyDescent="0.3">
      <c r="A56" s="36"/>
    </row>
    <row r="57" spans="1:1" x14ac:dyDescent="0.3">
      <c r="A57" s="36"/>
    </row>
    <row r="58" spans="1:1" x14ac:dyDescent="0.3">
      <c r="A58" s="36"/>
    </row>
    <row r="59" spans="1:1" x14ac:dyDescent="0.3">
      <c r="A59" s="36"/>
    </row>
    <row r="60" spans="1:1" x14ac:dyDescent="0.3">
      <c r="A60" s="36"/>
    </row>
    <row r="61" spans="1:1" x14ac:dyDescent="0.3">
      <c r="A61" s="36"/>
    </row>
    <row r="62" spans="1:1" x14ac:dyDescent="0.3">
      <c r="A62" s="36"/>
    </row>
    <row r="63" spans="1:1" x14ac:dyDescent="0.3">
      <c r="A63" s="36"/>
    </row>
    <row r="64" spans="1:1" x14ac:dyDescent="0.3">
      <c r="A64" s="36"/>
    </row>
    <row r="65" spans="1:1" x14ac:dyDescent="0.3">
      <c r="A65" s="36"/>
    </row>
    <row r="66" spans="1:1" x14ac:dyDescent="0.3">
      <c r="A66" s="36"/>
    </row>
    <row r="67" spans="1:1" x14ac:dyDescent="0.3">
      <c r="A67" s="36"/>
    </row>
    <row r="68" spans="1:1" x14ac:dyDescent="0.3">
      <c r="A68" s="36"/>
    </row>
    <row r="69" spans="1:1" x14ac:dyDescent="0.3">
      <c r="A69" s="36"/>
    </row>
    <row r="70" spans="1:1" x14ac:dyDescent="0.3">
      <c r="A70" s="36"/>
    </row>
    <row r="71" spans="1:1" x14ac:dyDescent="0.3">
      <c r="A71" s="36"/>
    </row>
    <row r="72" spans="1:1" x14ac:dyDescent="0.3">
      <c r="A72" s="36"/>
    </row>
    <row r="73" spans="1:1" x14ac:dyDescent="0.3">
      <c r="A73" s="36"/>
    </row>
    <row r="74" spans="1:1" x14ac:dyDescent="0.3">
      <c r="A74" s="36"/>
    </row>
    <row r="75" spans="1:1" x14ac:dyDescent="0.3">
      <c r="A75" s="36"/>
    </row>
    <row r="76" spans="1:1" x14ac:dyDescent="0.3">
      <c r="A76" s="36"/>
    </row>
    <row r="77" spans="1:1" x14ac:dyDescent="0.3">
      <c r="A77" s="36"/>
    </row>
    <row r="78" spans="1:1" x14ac:dyDescent="0.3">
      <c r="A78" s="36"/>
    </row>
    <row r="79" spans="1:1" x14ac:dyDescent="0.3">
      <c r="A79" s="36"/>
    </row>
    <row r="80" spans="1:1" x14ac:dyDescent="0.3">
      <c r="A80" s="36"/>
    </row>
    <row r="81" spans="1:1" x14ac:dyDescent="0.3">
      <c r="A81" s="36"/>
    </row>
    <row r="82" spans="1:1" x14ac:dyDescent="0.3">
      <c r="A82" s="36"/>
    </row>
    <row r="83" spans="1:1" x14ac:dyDescent="0.3">
      <c r="A83" s="36"/>
    </row>
    <row r="84" spans="1:1" x14ac:dyDescent="0.3">
      <c r="A84" s="36"/>
    </row>
    <row r="85" spans="1:1" x14ac:dyDescent="0.3">
      <c r="A85" s="36"/>
    </row>
    <row r="86" spans="1:1" x14ac:dyDescent="0.3">
      <c r="A86" s="36"/>
    </row>
    <row r="87" spans="1:1" x14ac:dyDescent="0.3">
      <c r="A87" s="36"/>
    </row>
    <row r="88" spans="1:1" x14ac:dyDescent="0.3">
      <c r="A88" s="36"/>
    </row>
    <row r="89" spans="1:1" x14ac:dyDescent="0.3">
      <c r="A89" s="36"/>
    </row>
    <row r="90" spans="1:1" x14ac:dyDescent="0.3">
      <c r="A90" s="36"/>
    </row>
    <row r="91" spans="1:1" x14ac:dyDescent="0.3">
      <c r="A91" s="36"/>
    </row>
    <row r="92" spans="1:1" x14ac:dyDescent="0.3">
      <c r="A92" s="36"/>
    </row>
    <row r="93" spans="1:1" x14ac:dyDescent="0.3">
      <c r="A93" s="36"/>
    </row>
    <row r="94" spans="1:1" x14ac:dyDescent="0.3">
      <c r="A94" s="36"/>
    </row>
    <row r="95" spans="1:1" x14ac:dyDescent="0.3">
      <c r="A95" s="36"/>
    </row>
    <row r="96" spans="1:1" x14ac:dyDescent="0.3">
      <c r="A96" s="36"/>
    </row>
    <row r="97" spans="1:1" x14ac:dyDescent="0.3">
      <c r="A97" s="36"/>
    </row>
    <row r="98" spans="1:1" x14ac:dyDescent="0.3">
      <c r="A98" s="36"/>
    </row>
    <row r="99" spans="1:1" x14ac:dyDescent="0.3">
      <c r="A99" s="36"/>
    </row>
    <row r="100" spans="1:1" x14ac:dyDescent="0.3">
      <c r="A100" s="36"/>
    </row>
    <row r="101" spans="1:1" x14ac:dyDescent="0.3">
      <c r="A101" s="36"/>
    </row>
    <row r="102" spans="1:1" x14ac:dyDescent="0.3">
      <c r="A102" s="36"/>
    </row>
    <row r="103" spans="1:1" x14ac:dyDescent="0.3">
      <c r="A103" s="36"/>
    </row>
    <row r="104" spans="1:1" x14ac:dyDescent="0.3">
      <c r="A104" s="36"/>
    </row>
    <row r="105" spans="1:1" x14ac:dyDescent="0.3">
      <c r="A105" s="36"/>
    </row>
    <row r="106" spans="1:1" x14ac:dyDescent="0.3">
      <c r="A106" s="36"/>
    </row>
    <row r="107" spans="1:1" x14ac:dyDescent="0.3">
      <c r="A107" s="36"/>
    </row>
    <row r="108" spans="1:1" x14ac:dyDescent="0.3">
      <c r="A108" s="36"/>
    </row>
    <row r="109" spans="1:1" x14ac:dyDescent="0.3">
      <c r="A109" s="36"/>
    </row>
    <row r="110" spans="1:1" x14ac:dyDescent="0.3">
      <c r="A110" s="36"/>
    </row>
    <row r="111" spans="1:1" x14ac:dyDescent="0.3">
      <c r="A111" s="36"/>
    </row>
    <row r="112" spans="1:1" x14ac:dyDescent="0.3">
      <c r="A112" s="36"/>
    </row>
    <row r="113" spans="1:1" x14ac:dyDescent="0.3">
      <c r="A113" s="36"/>
    </row>
    <row r="114" spans="1:1" x14ac:dyDescent="0.3">
      <c r="A114" s="36"/>
    </row>
    <row r="115" spans="1:1" x14ac:dyDescent="0.3">
      <c r="A115" s="36"/>
    </row>
    <row r="116" spans="1:1" x14ac:dyDescent="0.3">
      <c r="A116" s="36"/>
    </row>
    <row r="117" spans="1:1" x14ac:dyDescent="0.3">
      <c r="A117" s="36"/>
    </row>
    <row r="118" spans="1:1" x14ac:dyDescent="0.3">
      <c r="A118" s="36"/>
    </row>
    <row r="119" spans="1:1" x14ac:dyDescent="0.3">
      <c r="A119" s="36"/>
    </row>
    <row r="120" spans="1:1" x14ac:dyDescent="0.3">
      <c r="A120" s="36"/>
    </row>
    <row r="121" spans="1:1" x14ac:dyDescent="0.3">
      <c r="A121" s="36"/>
    </row>
    <row r="122" spans="1:1" x14ac:dyDescent="0.3">
      <c r="A122" s="36"/>
    </row>
    <row r="123" spans="1:1" x14ac:dyDescent="0.3">
      <c r="A123" s="36"/>
    </row>
    <row r="124" spans="1:1" x14ac:dyDescent="0.3">
      <c r="A124" s="36"/>
    </row>
    <row r="125" spans="1:1" x14ac:dyDescent="0.3">
      <c r="A125" s="36"/>
    </row>
    <row r="126" spans="1:1" x14ac:dyDescent="0.3">
      <c r="A126" s="36"/>
    </row>
    <row r="127" spans="1:1" x14ac:dyDescent="0.3">
      <c r="A127" s="36"/>
    </row>
    <row r="128" spans="1:1" x14ac:dyDescent="0.3">
      <c r="A128" s="36"/>
    </row>
    <row r="129" spans="1:1" x14ac:dyDescent="0.3">
      <c r="A129" s="36"/>
    </row>
    <row r="130" spans="1:1" x14ac:dyDescent="0.3">
      <c r="A130" s="36"/>
    </row>
    <row r="131" spans="1:1" x14ac:dyDescent="0.3">
      <c r="A131" s="36"/>
    </row>
    <row r="132" spans="1:1" x14ac:dyDescent="0.3">
      <c r="A132" s="36"/>
    </row>
    <row r="133" spans="1:1" x14ac:dyDescent="0.3">
      <c r="A133" s="36"/>
    </row>
    <row r="134" spans="1:1" x14ac:dyDescent="0.3">
      <c r="A134" s="36"/>
    </row>
    <row r="135" spans="1:1" x14ac:dyDescent="0.3">
      <c r="A135" s="36"/>
    </row>
    <row r="136" spans="1:1" x14ac:dyDescent="0.3">
      <c r="A136" s="36"/>
    </row>
    <row r="137" spans="1:1" x14ac:dyDescent="0.3">
      <c r="A137" s="36"/>
    </row>
    <row r="138" spans="1:1" x14ac:dyDescent="0.3">
      <c r="A138" s="36"/>
    </row>
    <row r="139" spans="1:1" x14ac:dyDescent="0.3">
      <c r="A139" s="36"/>
    </row>
    <row r="140" spans="1:1" x14ac:dyDescent="0.3">
      <c r="A140" s="36"/>
    </row>
    <row r="141" spans="1:1" x14ac:dyDescent="0.3">
      <c r="A141" s="36"/>
    </row>
    <row r="142" spans="1:1" x14ac:dyDescent="0.3">
      <c r="A142" s="36"/>
    </row>
    <row r="143" spans="1:1" x14ac:dyDescent="0.3">
      <c r="A143" s="36"/>
    </row>
    <row r="144" spans="1:1" x14ac:dyDescent="0.3">
      <c r="A144" s="36"/>
    </row>
    <row r="145" spans="1:1" x14ac:dyDescent="0.3">
      <c r="A145" s="36"/>
    </row>
    <row r="146" spans="1:1" x14ac:dyDescent="0.3">
      <c r="A146" s="36"/>
    </row>
    <row r="147" spans="1:1" x14ac:dyDescent="0.3">
      <c r="A147" s="36"/>
    </row>
    <row r="148" spans="1:1" x14ac:dyDescent="0.3">
      <c r="A148" s="36"/>
    </row>
    <row r="149" spans="1:1" x14ac:dyDescent="0.3">
      <c r="A149" s="36"/>
    </row>
    <row r="150" spans="1:1" x14ac:dyDescent="0.3">
      <c r="A150" s="36"/>
    </row>
    <row r="151" spans="1:1" x14ac:dyDescent="0.3">
      <c r="A151" s="36"/>
    </row>
    <row r="152" spans="1:1" x14ac:dyDescent="0.3">
      <c r="A152" s="36"/>
    </row>
    <row r="153" spans="1:1" x14ac:dyDescent="0.3">
      <c r="A153" s="36"/>
    </row>
    <row r="154" spans="1:1" x14ac:dyDescent="0.3">
      <c r="A154" s="36"/>
    </row>
    <row r="155" spans="1:1" x14ac:dyDescent="0.3">
      <c r="A155" s="36"/>
    </row>
    <row r="156" spans="1:1" x14ac:dyDescent="0.3">
      <c r="A156" s="36"/>
    </row>
    <row r="157" spans="1:1" x14ac:dyDescent="0.3">
      <c r="A157" s="36"/>
    </row>
    <row r="158" spans="1:1" x14ac:dyDescent="0.3">
      <c r="A158" s="36"/>
    </row>
    <row r="159" spans="1:1" x14ac:dyDescent="0.3">
      <c r="A159" s="36"/>
    </row>
    <row r="160" spans="1:1" x14ac:dyDescent="0.3">
      <c r="A160" s="36"/>
    </row>
    <row r="161" spans="1:1" x14ac:dyDescent="0.3">
      <c r="A161" s="36"/>
    </row>
    <row r="162" spans="1:1" x14ac:dyDescent="0.3">
      <c r="A162" s="36"/>
    </row>
    <row r="163" spans="1:1" x14ac:dyDescent="0.3">
      <c r="A163" s="36"/>
    </row>
    <row r="164" spans="1:1" x14ac:dyDescent="0.3">
      <c r="A164" s="36"/>
    </row>
    <row r="165" spans="1:1" x14ac:dyDescent="0.3">
      <c r="A165" s="36"/>
    </row>
    <row r="166" spans="1:1" x14ac:dyDescent="0.3">
      <c r="A166" s="36"/>
    </row>
    <row r="167" spans="1:1" x14ac:dyDescent="0.3">
      <c r="A167" s="36"/>
    </row>
    <row r="168" spans="1:1" x14ac:dyDescent="0.3">
      <c r="A168" s="36"/>
    </row>
    <row r="169" spans="1:1" x14ac:dyDescent="0.3">
      <c r="A169" s="36"/>
    </row>
    <row r="170" spans="1:1" x14ac:dyDescent="0.3">
      <c r="A170" s="36"/>
    </row>
    <row r="171" spans="1:1" x14ac:dyDescent="0.3">
      <c r="A171" s="36"/>
    </row>
    <row r="172" spans="1:1" x14ac:dyDescent="0.3">
      <c r="A172" s="36"/>
    </row>
    <row r="173" spans="1:1" x14ac:dyDescent="0.3">
      <c r="A173" s="36"/>
    </row>
    <row r="174" spans="1:1" x14ac:dyDescent="0.3">
      <c r="A174" s="36"/>
    </row>
    <row r="175" spans="1:1" x14ac:dyDescent="0.3">
      <c r="A175" s="36"/>
    </row>
    <row r="176" spans="1:1" x14ac:dyDescent="0.3">
      <c r="A176" s="36"/>
    </row>
    <row r="177" spans="1:1" x14ac:dyDescent="0.3">
      <c r="A177" s="36"/>
    </row>
    <row r="178" spans="1:1" x14ac:dyDescent="0.3">
      <c r="A178" s="36"/>
    </row>
    <row r="179" spans="1:1" x14ac:dyDescent="0.3">
      <c r="A179" s="36"/>
    </row>
    <row r="180" spans="1:1" x14ac:dyDescent="0.3">
      <c r="A180" s="36"/>
    </row>
    <row r="181" spans="1:1" x14ac:dyDescent="0.3">
      <c r="A181" s="36"/>
    </row>
    <row r="182" spans="1:1" x14ac:dyDescent="0.3">
      <c r="A182" s="36"/>
    </row>
    <row r="183" spans="1:1" x14ac:dyDescent="0.3">
      <c r="A183" s="36"/>
    </row>
    <row r="184" spans="1:1" x14ac:dyDescent="0.3">
      <c r="A184" s="36"/>
    </row>
    <row r="185" spans="1:1" x14ac:dyDescent="0.3">
      <c r="A185" s="36"/>
    </row>
    <row r="186" spans="1:1" x14ac:dyDescent="0.3">
      <c r="A186" s="36"/>
    </row>
    <row r="187" spans="1:1" x14ac:dyDescent="0.3">
      <c r="A187" s="36"/>
    </row>
    <row r="188" spans="1:1" x14ac:dyDescent="0.3">
      <c r="A188" s="36"/>
    </row>
    <row r="189" spans="1:1" x14ac:dyDescent="0.3">
      <c r="A189" s="36"/>
    </row>
    <row r="190" spans="1:1" x14ac:dyDescent="0.3">
      <c r="A190" s="36"/>
    </row>
    <row r="191" spans="1:1" x14ac:dyDescent="0.3">
      <c r="A191" s="36"/>
    </row>
    <row r="192" spans="1:1" x14ac:dyDescent="0.3">
      <c r="A192" s="36"/>
    </row>
    <row r="193" spans="1:1" x14ac:dyDescent="0.3">
      <c r="A193" s="36"/>
    </row>
    <row r="194" spans="1:1" x14ac:dyDescent="0.3">
      <c r="A194" s="36"/>
    </row>
    <row r="195" spans="1:1" x14ac:dyDescent="0.3">
      <c r="A195" s="36"/>
    </row>
    <row r="196" spans="1:1" x14ac:dyDescent="0.3">
      <c r="A196" s="36"/>
    </row>
    <row r="197" spans="1:1" x14ac:dyDescent="0.3">
      <c r="A197" s="36"/>
    </row>
    <row r="198" spans="1:1" x14ac:dyDescent="0.3">
      <c r="A198" s="36"/>
    </row>
    <row r="199" spans="1:1" x14ac:dyDescent="0.3">
      <c r="A199" s="36"/>
    </row>
    <row r="200" spans="1:1" x14ac:dyDescent="0.3">
      <c r="A200" s="36"/>
    </row>
    <row r="201" spans="1:1" x14ac:dyDescent="0.3">
      <c r="A201" s="36"/>
    </row>
    <row r="202" spans="1:1" x14ac:dyDescent="0.3">
      <c r="A202" s="36"/>
    </row>
    <row r="203" spans="1:1" x14ac:dyDescent="0.3">
      <c r="A203" s="36"/>
    </row>
    <row r="204" spans="1:1" x14ac:dyDescent="0.3">
      <c r="A204" s="36"/>
    </row>
    <row r="205" spans="1:1" x14ac:dyDescent="0.3">
      <c r="A205" s="36"/>
    </row>
    <row r="206" spans="1:1" x14ac:dyDescent="0.3">
      <c r="A206" s="36"/>
    </row>
    <row r="207" spans="1:1" x14ac:dyDescent="0.3">
      <c r="A207" s="36"/>
    </row>
    <row r="208" spans="1:1" x14ac:dyDescent="0.3">
      <c r="A208" s="36"/>
    </row>
    <row r="209" spans="1:1" x14ac:dyDescent="0.3">
      <c r="A209" s="36"/>
    </row>
    <row r="210" spans="1:1" x14ac:dyDescent="0.3">
      <c r="A210" s="36"/>
    </row>
    <row r="211" spans="1:1" x14ac:dyDescent="0.3">
      <c r="A211" s="36"/>
    </row>
    <row r="212" spans="1:1" x14ac:dyDescent="0.3">
      <c r="A212" s="36"/>
    </row>
    <row r="213" spans="1:1" x14ac:dyDescent="0.3">
      <c r="A213" s="36"/>
    </row>
    <row r="214" spans="1:1" x14ac:dyDescent="0.3">
      <c r="A214" s="36"/>
    </row>
    <row r="215" spans="1:1" x14ac:dyDescent="0.3">
      <c r="A215" s="36"/>
    </row>
    <row r="216" spans="1:1" x14ac:dyDescent="0.3">
      <c r="A216" s="36"/>
    </row>
    <row r="217" spans="1:1" x14ac:dyDescent="0.3">
      <c r="A217" s="36"/>
    </row>
    <row r="218" spans="1:1" x14ac:dyDescent="0.3">
      <c r="A218" s="36"/>
    </row>
    <row r="219" spans="1:1" x14ac:dyDescent="0.3">
      <c r="A219" s="36"/>
    </row>
    <row r="220" spans="1:1" x14ac:dyDescent="0.3">
      <c r="A220" s="36"/>
    </row>
    <row r="221" spans="1:1" x14ac:dyDescent="0.3">
      <c r="A221" s="36"/>
    </row>
    <row r="222" spans="1:1" x14ac:dyDescent="0.3">
      <c r="A222" s="36"/>
    </row>
    <row r="223" spans="1:1" x14ac:dyDescent="0.3">
      <c r="A223" s="36"/>
    </row>
    <row r="224" spans="1:1" x14ac:dyDescent="0.3">
      <c r="A224" s="36"/>
    </row>
    <row r="225" spans="1:1" x14ac:dyDescent="0.3">
      <c r="A225" s="36"/>
    </row>
    <row r="226" spans="1:1" x14ac:dyDescent="0.3">
      <c r="A226" s="36"/>
    </row>
    <row r="227" spans="1:1" x14ac:dyDescent="0.3">
      <c r="A227" s="36"/>
    </row>
    <row r="228" spans="1:1" x14ac:dyDescent="0.3">
      <c r="A228" s="36"/>
    </row>
    <row r="229" spans="1:1" x14ac:dyDescent="0.3">
      <c r="A229" s="36"/>
    </row>
    <row r="230" spans="1:1" x14ac:dyDescent="0.3">
      <c r="A230" s="36"/>
    </row>
    <row r="231" spans="1:1" x14ac:dyDescent="0.3">
      <c r="A231" s="36"/>
    </row>
    <row r="232" spans="1:1" x14ac:dyDescent="0.3">
      <c r="A232" s="36"/>
    </row>
    <row r="233" spans="1:1" x14ac:dyDescent="0.3">
      <c r="A233" s="36"/>
    </row>
    <row r="234" spans="1:1" x14ac:dyDescent="0.3">
      <c r="A234" s="36"/>
    </row>
    <row r="235" spans="1:1" x14ac:dyDescent="0.3">
      <c r="A235" s="36"/>
    </row>
    <row r="236" spans="1:1" x14ac:dyDescent="0.3">
      <c r="A236" s="36"/>
    </row>
    <row r="237" spans="1:1" x14ac:dyDescent="0.3">
      <c r="A237" s="36"/>
    </row>
    <row r="238" spans="1:1" x14ac:dyDescent="0.3">
      <c r="A238" s="36"/>
    </row>
    <row r="239" spans="1:1" x14ac:dyDescent="0.3">
      <c r="A239" s="36"/>
    </row>
    <row r="240" spans="1:1" x14ac:dyDescent="0.3">
      <c r="A240" s="36"/>
    </row>
    <row r="241" spans="1:1" x14ac:dyDescent="0.3">
      <c r="A241" s="36"/>
    </row>
    <row r="242" spans="1:1" x14ac:dyDescent="0.3">
      <c r="A242" s="36"/>
    </row>
    <row r="243" spans="1:1" x14ac:dyDescent="0.3">
      <c r="A243" s="36"/>
    </row>
    <row r="244" spans="1:1" x14ac:dyDescent="0.3">
      <c r="A244" s="36"/>
    </row>
    <row r="245" spans="1:1" x14ac:dyDescent="0.3">
      <c r="A245" s="36"/>
    </row>
    <row r="246" spans="1:1" x14ac:dyDescent="0.3">
      <c r="A246" s="36"/>
    </row>
    <row r="247" spans="1:1" x14ac:dyDescent="0.3">
      <c r="A247" s="36"/>
    </row>
    <row r="248" spans="1:1" x14ac:dyDescent="0.3">
      <c r="A248" s="36"/>
    </row>
    <row r="249" spans="1:1" x14ac:dyDescent="0.3">
      <c r="A249" s="36"/>
    </row>
    <row r="250" spans="1:1" x14ac:dyDescent="0.3">
      <c r="A250" s="36"/>
    </row>
    <row r="251" spans="1:1" x14ac:dyDescent="0.3">
      <c r="A251" s="36"/>
    </row>
    <row r="252" spans="1:1" x14ac:dyDescent="0.3">
      <c r="A252" s="36"/>
    </row>
    <row r="253" spans="1:1" x14ac:dyDescent="0.3">
      <c r="A253" s="36"/>
    </row>
    <row r="254" spans="1:1" x14ac:dyDescent="0.3">
      <c r="A254" s="36"/>
    </row>
    <row r="255" spans="1:1" x14ac:dyDescent="0.3">
      <c r="A255" s="36"/>
    </row>
    <row r="256" spans="1:1" x14ac:dyDescent="0.3">
      <c r="A256" s="36"/>
    </row>
    <row r="257" spans="1:1" x14ac:dyDescent="0.3">
      <c r="A257" s="36"/>
    </row>
    <row r="258" spans="1:1" x14ac:dyDescent="0.3">
      <c r="A258" s="36"/>
    </row>
    <row r="259" spans="1:1" x14ac:dyDescent="0.3">
      <c r="A259" s="36"/>
    </row>
    <row r="260" spans="1:1" x14ac:dyDescent="0.3">
      <c r="A260" s="36"/>
    </row>
    <row r="261" spans="1:1" x14ac:dyDescent="0.3">
      <c r="A261" s="36"/>
    </row>
    <row r="262" spans="1:1" x14ac:dyDescent="0.3">
      <c r="A262" s="36"/>
    </row>
    <row r="263" spans="1:1" x14ac:dyDescent="0.3">
      <c r="A263" s="36"/>
    </row>
    <row r="264" spans="1:1" x14ac:dyDescent="0.3">
      <c r="A264" s="36"/>
    </row>
    <row r="265" spans="1:1" x14ac:dyDescent="0.3">
      <c r="A265" s="36"/>
    </row>
    <row r="266" spans="1:1" x14ac:dyDescent="0.3">
      <c r="A266" s="36"/>
    </row>
    <row r="267" spans="1:1" x14ac:dyDescent="0.3">
      <c r="A267" s="36"/>
    </row>
    <row r="268" spans="1:1" x14ac:dyDescent="0.3">
      <c r="A268" s="36"/>
    </row>
    <row r="269" spans="1:1" x14ac:dyDescent="0.3">
      <c r="A269" s="36"/>
    </row>
    <row r="270" spans="1:1" x14ac:dyDescent="0.3">
      <c r="A270" s="36"/>
    </row>
    <row r="271" spans="1:1" x14ac:dyDescent="0.3">
      <c r="A271" s="36"/>
    </row>
    <row r="272" spans="1:1" x14ac:dyDescent="0.3">
      <c r="A272" s="36"/>
    </row>
    <row r="273" spans="1:1" x14ac:dyDescent="0.3">
      <c r="A273" s="36"/>
    </row>
    <row r="274" spans="1:1" x14ac:dyDescent="0.3">
      <c r="A274" s="36"/>
    </row>
    <row r="275" spans="1:1" x14ac:dyDescent="0.3">
      <c r="A275" s="36"/>
    </row>
    <row r="276" spans="1:1" x14ac:dyDescent="0.3">
      <c r="A276" s="36"/>
    </row>
    <row r="277" spans="1:1" x14ac:dyDescent="0.3">
      <c r="A277" s="36"/>
    </row>
    <row r="278" spans="1:1" x14ac:dyDescent="0.3">
      <c r="A278" s="36"/>
    </row>
    <row r="279" spans="1:1" x14ac:dyDescent="0.3">
      <c r="A279" s="36"/>
    </row>
    <row r="280" spans="1:1" x14ac:dyDescent="0.3">
      <c r="A280" s="36"/>
    </row>
    <row r="281" spans="1:1" x14ac:dyDescent="0.3">
      <c r="A281" s="36"/>
    </row>
    <row r="282" spans="1:1" x14ac:dyDescent="0.3">
      <c r="A282" s="36"/>
    </row>
    <row r="283" spans="1:1" x14ac:dyDescent="0.3">
      <c r="A283" s="36"/>
    </row>
    <row r="284" spans="1:1" x14ac:dyDescent="0.3">
      <c r="A284" s="36"/>
    </row>
    <row r="285" spans="1:1" x14ac:dyDescent="0.3">
      <c r="A285" s="36"/>
    </row>
    <row r="286" spans="1:1" x14ac:dyDescent="0.3">
      <c r="A286" s="36"/>
    </row>
    <row r="287" spans="1:1" x14ac:dyDescent="0.3">
      <c r="A287" s="36"/>
    </row>
    <row r="288" spans="1:1" x14ac:dyDescent="0.3">
      <c r="A288" s="36"/>
    </row>
    <row r="289" spans="1:1" x14ac:dyDescent="0.3">
      <c r="A289" s="36"/>
    </row>
    <row r="290" spans="1:1" x14ac:dyDescent="0.3">
      <c r="A290" s="36"/>
    </row>
    <row r="291" spans="1:1" x14ac:dyDescent="0.3">
      <c r="A291" s="36"/>
    </row>
    <row r="292" spans="1:1" x14ac:dyDescent="0.3">
      <c r="A292" s="36"/>
    </row>
    <row r="293" spans="1:1" x14ac:dyDescent="0.3">
      <c r="A293" s="36"/>
    </row>
    <row r="294" spans="1:1" x14ac:dyDescent="0.3">
      <c r="A294" s="36"/>
    </row>
    <row r="295" spans="1:1" x14ac:dyDescent="0.3">
      <c r="A295" s="36"/>
    </row>
    <row r="296" spans="1:1" x14ac:dyDescent="0.3">
      <c r="A296" s="36"/>
    </row>
    <row r="297" spans="1:1" x14ac:dyDescent="0.3">
      <c r="A297" s="36"/>
    </row>
    <row r="298" spans="1:1" x14ac:dyDescent="0.3">
      <c r="A298" s="36"/>
    </row>
    <row r="299" spans="1:1" x14ac:dyDescent="0.3">
      <c r="A299" s="36"/>
    </row>
    <row r="300" spans="1:1" x14ac:dyDescent="0.3">
      <c r="A300" s="36"/>
    </row>
    <row r="301" spans="1:1" x14ac:dyDescent="0.3">
      <c r="A301" s="36"/>
    </row>
    <row r="302" spans="1:1" x14ac:dyDescent="0.3">
      <c r="A302" s="36"/>
    </row>
    <row r="303" spans="1:1" x14ac:dyDescent="0.3">
      <c r="A303" s="36"/>
    </row>
    <row r="304" spans="1:1" x14ac:dyDescent="0.3">
      <c r="A304" s="36"/>
    </row>
    <row r="305" spans="1:1" x14ac:dyDescent="0.3">
      <c r="A305" s="36"/>
    </row>
    <row r="306" spans="1:1" x14ac:dyDescent="0.3">
      <c r="A306" s="36"/>
    </row>
    <row r="307" spans="1:1" x14ac:dyDescent="0.3">
      <c r="A307" s="36"/>
    </row>
    <row r="308" spans="1:1" x14ac:dyDescent="0.3">
      <c r="A308" s="36"/>
    </row>
    <row r="309" spans="1:1" x14ac:dyDescent="0.3">
      <c r="A309" s="36"/>
    </row>
    <row r="310" spans="1:1" x14ac:dyDescent="0.3">
      <c r="A310" s="36"/>
    </row>
    <row r="311" spans="1:1" x14ac:dyDescent="0.3">
      <c r="A311" s="36"/>
    </row>
    <row r="312" spans="1:1" x14ac:dyDescent="0.3">
      <c r="A312" s="36"/>
    </row>
    <row r="313" spans="1:1" x14ac:dyDescent="0.3">
      <c r="A313" s="36"/>
    </row>
    <row r="314" spans="1:1" x14ac:dyDescent="0.3">
      <c r="A314" s="36"/>
    </row>
    <row r="315" spans="1:1" x14ac:dyDescent="0.3">
      <c r="A315" s="36"/>
    </row>
    <row r="316" spans="1:1" x14ac:dyDescent="0.3">
      <c r="A316" s="36"/>
    </row>
    <row r="317" spans="1:1" x14ac:dyDescent="0.3">
      <c r="A317" s="36"/>
    </row>
    <row r="318" spans="1:1" x14ac:dyDescent="0.3">
      <c r="A318" s="36"/>
    </row>
    <row r="319" spans="1:1" x14ac:dyDescent="0.3">
      <c r="A319" s="36"/>
    </row>
    <row r="320" spans="1:1" x14ac:dyDescent="0.3">
      <c r="A320" s="36"/>
    </row>
    <row r="321" spans="1:1" x14ac:dyDescent="0.3">
      <c r="A321" s="36"/>
    </row>
    <row r="322" spans="1:1" x14ac:dyDescent="0.3">
      <c r="A322" s="36"/>
    </row>
    <row r="323" spans="1:1" x14ac:dyDescent="0.3">
      <c r="A323" s="36"/>
    </row>
    <row r="324" spans="1:1" x14ac:dyDescent="0.3">
      <c r="A324" s="36"/>
    </row>
    <row r="325" spans="1:1" x14ac:dyDescent="0.3">
      <c r="A325" s="36"/>
    </row>
    <row r="326" spans="1:1" x14ac:dyDescent="0.3">
      <c r="A326" s="36"/>
    </row>
    <row r="327" spans="1:1" x14ac:dyDescent="0.3">
      <c r="A327" s="36"/>
    </row>
    <row r="328" spans="1:1" x14ac:dyDescent="0.3">
      <c r="A328" s="36"/>
    </row>
    <row r="329" spans="1:1" x14ac:dyDescent="0.3">
      <c r="A329" s="36"/>
    </row>
    <row r="330" spans="1:1" x14ac:dyDescent="0.3">
      <c r="A330" s="36"/>
    </row>
    <row r="331" spans="1:1" x14ac:dyDescent="0.3">
      <c r="A331" s="36"/>
    </row>
    <row r="332" spans="1:1" x14ac:dyDescent="0.3">
      <c r="A332" s="36"/>
    </row>
    <row r="333" spans="1:1" x14ac:dyDescent="0.3">
      <c r="A333" s="36"/>
    </row>
    <row r="334" spans="1:1" x14ac:dyDescent="0.3">
      <c r="A334" s="36"/>
    </row>
    <row r="335" spans="1:1" x14ac:dyDescent="0.3">
      <c r="A335" s="36"/>
    </row>
    <row r="336" spans="1:1" x14ac:dyDescent="0.3">
      <c r="A336" s="36"/>
    </row>
    <row r="337" spans="1:1" x14ac:dyDescent="0.3">
      <c r="A337" s="36"/>
    </row>
    <row r="338" spans="1:1" x14ac:dyDescent="0.3">
      <c r="A338" s="36"/>
    </row>
    <row r="339" spans="1:1" x14ac:dyDescent="0.3">
      <c r="A339" s="36"/>
    </row>
    <row r="340" spans="1:1" x14ac:dyDescent="0.3">
      <c r="A340" s="36"/>
    </row>
    <row r="341" spans="1:1" x14ac:dyDescent="0.3">
      <c r="A341" s="36"/>
    </row>
    <row r="342" spans="1:1" x14ac:dyDescent="0.3">
      <c r="A342" s="36"/>
    </row>
    <row r="343" spans="1:1" x14ac:dyDescent="0.3">
      <c r="A343" s="36"/>
    </row>
    <row r="344" spans="1:1" x14ac:dyDescent="0.3">
      <c r="A344" s="36"/>
    </row>
    <row r="345" spans="1:1" x14ac:dyDescent="0.3">
      <c r="A345" s="36"/>
    </row>
    <row r="346" spans="1:1" x14ac:dyDescent="0.3">
      <c r="A346" s="36"/>
    </row>
    <row r="347" spans="1:1" x14ac:dyDescent="0.3">
      <c r="A347" s="36"/>
    </row>
    <row r="348" spans="1:1" x14ac:dyDescent="0.3">
      <c r="A348" s="36"/>
    </row>
    <row r="349" spans="1:1" x14ac:dyDescent="0.3">
      <c r="A349" s="36"/>
    </row>
    <row r="350" spans="1:1" x14ac:dyDescent="0.3">
      <c r="A350" s="36"/>
    </row>
    <row r="351" spans="1:1" x14ac:dyDescent="0.3">
      <c r="A351" s="36"/>
    </row>
    <row r="352" spans="1:1" x14ac:dyDescent="0.3">
      <c r="A352" s="36"/>
    </row>
    <row r="353" spans="1:1" x14ac:dyDescent="0.3">
      <c r="A353" s="36"/>
    </row>
    <row r="354" spans="1:1" x14ac:dyDescent="0.3">
      <c r="A354" s="36"/>
    </row>
    <row r="355" spans="1:1" x14ac:dyDescent="0.3">
      <c r="A355" s="36"/>
    </row>
    <row r="356" spans="1:1" x14ac:dyDescent="0.3">
      <c r="A356" s="36"/>
    </row>
    <row r="357" spans="1:1" x14ac:dyDescent="0.3">
      <c r="A357" s="36"/>
    </row>
    <row r="358" spans="1:1" x14ac:dyDescent="0.3">
      <c r="A358" s="36"/>
    </row>
    <row r="359" spans="1:1" x14ac:dyDescent="0.3">
      <c r="A359" s="36"/>
    </row>
    <row r="360" spans="1:1" x14ac:dyDescent="0.3">
      <c r="A360" s="36"/>
    </row>
    <row r="361" spans="1:1" x14ac:dyDescent="0.3">
      <c r="A361" s="36"/>
    </row>
    <row r="362" spans="1:1" x14ac:dyDescent="0.3">
      <c r="A362" s="36"/>
    </row>
    <row r="363" spans="1:1" x14ac:dyDescent="0.3">
      <c r="A363" s="36"/>
    </row>
    <row r="364" spans="1:1" x14ac:dyDescent="0.3">
      <c r="A364" s="36"/>
    </row>
    <row r="365" spans="1:1" x14ac:dyDescent="0.3">
      <c r="A365" s="36"/>
    </row>
    <row r="366" spans="1:1" x14ac:dyDescent="0.3">
      <c r="A366" s="36"/>
    </row>
    <row r="367" spans="1:1" x14ac:dyDescent="0.3">
      <c r="A367" s="36"/>
    </row>
    <row r="368" spans="1:1" x14ac:dyDescent="0.3">
      <c r="A368" s="36"/>
    </row>
    <row r="369" spans="1:1" x14ac:dyDescent="0.3">
      <c r="A369" s="36"/>
    </row>
    <row r="370" spans="1:1" x14ac:dyDescent="0.3">
      <c r="A370" s="36"/>
    </row>
    <row r="371" spans="1:1" x14ac:dyDescent="0.3">
      <c r="A371" s="36"/>
    </row>
    <row r="372" spans="1:1" x14ac:dyDescent="0.3">
      <c r="A372" s="36"/>
    </row>
    <row r="373" spans="1:1" x14ac:dyDescent="0.3">
      <c r="A373" s="36"/>
    </row>
    <row r="374" spans="1:1" x14ac:dyDescent="0.3">
      <c r="A374" s="36"/>
    </row>
    <row r="375" spans="1:1" x14ac:dyDescent="0.3">
      <c r="A375" s="36"/>
    </row>
    <row r="376" spans="1:1" x14ac:dyDescent="0.3">
      <c r="A376" s="36"/>
    </row>
    <row r="377" spans="1:1" x14ac:dyDescent="0.3">
      <c r="A377" s="36"/>
    </row>
    <row r="378" spans="1:1" x14ac:dyDescent="0.3">
      <c r="A378" s="36"/>
    </row>
    <row r="379" spans="1:1" x14ac:dyDescent="0.3">
      <c r="A379" s="36"/>
    </row>
    <row r="380" spans="1:1" x14ac:dyDescent="0.3">
      <c r="A380" s="36"/>
    </row>
    <row r="381" spans="1:1" x14ac:dyDescent="0.3">
      <c r="A381" s="36"/>
    </row>
    <row r="382" spans="1:1" x14ac:dyDescent="0.3">
      <c r="A382" s="36"/>
    </row>
    <row r="383" spans="1:1" x14ac:dyDescent="0.3">
      <c r="A383" s="36"/>
    </row>
    <row r="384" spans="1:1" x14ac:dyDescent="0.3">
      <c r="A384" s="36"/>
    </row>
    <row r="385" spans="1:1" x14ac:dyDescent="0.3">
      <c r="A385" s="36"/>
    </row>
    <row r="386" spans="1:1" x14ac:dyDescent="0.3">
      <c r="A386" s="36"/>
    </row>
    <row r="387" spans="1:1" x14ac:dyDescent="0.3">
      <c r="A387" s="36"/>
    </row>
    <row r="388" spans="1:1" x14ac:dyDescent="0.3">
      <c r="A388" s="36"/>
    </row>
    <row r="389" spans="1:1" x14ac:dyDescent="0.3">
      <c r="A389" s="36"/>
    </row>
    <row r="390" spans="1:1" x14ac:dyDescent="0.3">
      <c r="A390" s="36"/>
    </row>
    <row r="391" spans="1:1" x14ac:dyDescent="0.3">
      <c r="A391" s="36"/>
    </row>
    <row r="392" spans="1:1" x14ac:dyDescent="0.3">
      <c r="A392" s="36"/>
    </row>
    <row r="393" spans="1:1" x14ac:dyDescent="0.3">
      <c r="A393" s="36"/>
    </row>
    <row r="394" spans="1:1" x14ac:dyDescent="0.3">
      <c r="A394" s="36"/>
    </row>
    <row r="395" spans="1:1" x14ac:dyDescent="0.3">
      <c r="A395" s="36"/>
    </row>
    <row r="396" spans="1:1" x14ac:dyDescent="0.3">
      <c r="A396" s="36"/>
    </row>
    <row r="397" spans="1:1" x14ac:dyDescent="0.3">
      <c r="A397" s="36"/>
    </row>
    <row r="398" spans="1:1" x14ac:dyDescent="0.3">
      <c r="A398" s="36"/>
    </row>
    <row r="399" spans="1:1" x14ac:dyDescent="0.3">
      <c r="A399" s="36"/>
    </row>
    <row r="400" spans="1:1" x14ac:dyDescent="0.3">
      <c r="A400" s="36"/>
    </row>
    <row r="401" spans="1:1" x14ac:dyDescent="0.3">
      <c r="A401" s="36"/>
    </row>
    <row r="402" spans="1:1" x14ac:dyDescent="0.3">
      <c r="A402" s="36"/>
    </row>
    <row r="403" spans="1:1" x14ac:dyDescent="0.3">
      <c r="A403" s="36"/>
    </row>
    <row r="404" spans="1:1" x14ac:dyDescent="0.3">
      <c r="A404" s="36"/>
    </row>
    <row r="405" spans="1:1" x14ac:dyDescent="0.3">
      <c r="A405" s="36"/>
    </row>
    <row r="406" spans="1:1" x14ac:dyDescent="0.3">
      <c r="A406" s="36"/>
    </row>
    <row r="407" spans="1:1" x14ac:dyDescent="0.3">
      <c r="A407" s="36"/>
    </row>
    <row r="408" spans="1:1" x14ac:dyDescent="0.3">
      <c r="A408" s="36"/>
    </row>
    <row r="409" spans="1:1" x14ac:dyDescent="0.3">
      <c r="A409" s="36"/>
    </row>
    <row r="410" spans="1:1" x14ac:dyDescent="0.3">
      <c r="A410" s="36"/>
    </row>
    <row r="411" spans="1:1" x14ac:dyDescent="0.3">
      <c r="A411" s="36"/>
    </row>
    <row r="412" spans="1:1" x14ac:dyDescent="0.3">
      <c r="A412" s="36"/>
    </row>
    <row r="413" spans="1:1" x14ac:dyDescent="0.3">
      <c r="A413" s="36"/>
    </row>
    <row r="414" spans="1:1" x14ac:dyDescent="0.3">
      <c r="A414" s="36"/>
    </row>
    <row r="415" spans="1:1" x14ac:dyDescent="0.3">
      <c r="A415" s="36"/>
    </row>
    <row r="416" spans="1:1" x14ac:dyDescent="0.3">
      <c r="A416" s="36"/>
    </row>
    <row r="417" spans="1:1" x14ac:dyDescent="0.3">
      <c r="A417" s="36"/>
    </row>
    <row r="418" spans="1:1" x14ac:dyDescent="0.3">
      <c r="A418" s="36"/>
    </row>
    <row r="419" spans="1:1" x14ac:dyDescent="0.3">
      <c r="A419" s="36"/>
    </row>
    <row r="420" spans="1:1" x14ac:dyDescent="0.3">
      <c r="A420" s="36"/>
    </row>
    <row r="421" spans="1:1" x14ac:dyDescent="0.3">
      <c r="A421" s="36"/>
    </row>
    <row r="422" spans="1:1" x14ac:dyDescent="0.3">
      <c r="A422" s="36"/>
    </row>
    <row r="423" spans="1:1" x14ac:dyDescent="0.3">
      <c r="A423" s="36"/>
    </row>
    <row r="424" spans="1:1" x14ac:dyDescent="0.3">
      <c r="A424" s="36"/>
    </row>
    <row r="425" spans="1:1" x14ac:dyDescent="0.3">
      <c r="A425" s="36"/>
    </row>
    <row r="426" spans="1:1" x14ac:dyDescent="0.3">
      <c r="A426" s="36"/>
    </row>
    <row r="427" spans="1:1" x14ac:dyDescent="0.3">
      <c r="A427" s="36"/>
    </row>
    <row r="428" spans="1:1" x14ac:dyDescent="0.3">
      <c r="A428" s="36"/>
    </row>
    <row r="429" spans="1:1" x14ac:dyDescent="0.3">
      <c r="A429" s="36"/>
    </row>
    <row r="430" spans="1:1" x14ac:dyDescent="0.3">
      <c r="A430" s="36"/>
    </row>
    <row r="431" spans="1:1" x14ac:dyDescent="0.3">
      <c r="A431" s="36"/>
    </row>
    <row r="432" spans="1:1" x14ac:dyDescent="0.3">
      <c r="A432" s="36"/>
    </row>
    <row r="433" spans="1:1" x14ac:dyDescent="0.3">
      <c r="A433" s="36"/>
    </row>
    <row r="434" spans="1:1" x14ac:dyDescent="0.3">
      <c r="A434" s="36"/>
    </row>
    <row r="435" spans="1:1" x14ac:dyDescent="0.3">
      <c r="A435" s="36"/>
    </row>
    <row r="436" spans="1:1" x14ac:dyDescent="0.3">
      <c r="A436" s="36"/>
    </row>
    <row r="437" spans="1:1" x14ac:dyDescent="0.3">
      <c r="A437" s="36"/>
    </row>
    <row r="438" spans="1:1" x14ac:dyDescent="0.3">
      <c r="A438" s="36"/>
    </row>
    <row r="439" spans="1:1" x14ac:dyDescent="0.3">
      <c r="A439" s="36"/>
    </row>
    <row r="440" spans="1:1" x14ac:dyDescent="0.3">
      <c r="A440" s="36"/>
    </row>
    <row r="441" spans="1:1" x14ac:dyDescent="0.3">
      <c r="A441" s="36"/>
    </row>
    <row r="442" spans="1:1" x14ac:dyDescent="0.3">
      <c r="A442" s="36"/>
    </row>
    <row r="443" spans="1:1" x14ac:dyDescent="0.3">
      <c r="A443" s="36"/>
    </row>
    <row r="444" spans="1:1" x14ac:dyDescent="0.3">
      <c r="A444" s="36"/>
    </row>
    <row r="445" spans="1:1" x14ac:dyDescent="0.3">
      <c r="A445" s="36"/>
    </row>
    <row r="446" spans="1:1" x14ac:dyDescent="0.3">
      <c r="A446" s="36"/>
    </row>
    <row r="447" spans="1:1" x14ac:dyDescent="0.3">
      <c r="A447" s="36"/>
    </row>
    <row r="448" spans="1:1" x14ac:dyDescent="0.3">
      <c r="A448" s="36"/>
    </row>
    <row r="449" spans="1:1" x14ac:dyDescent="0.3">
      <c r="A449" s="36"/>
    </row>
    <row r="450" spans="1:1" x14ac:dyDescent="0.3">
      <c r="A450" s="36"/>
    </row>
    <row r="451" spans="1:1" x14ac:dyDescent="0.3">
      <c r="A451" s="36"/>
    </row>
    <row r="452" spans="1:1" x14ac:dyDescent="0.3">
      <c r="A452" s="36"/>
    </row>
    <row r="453" spans="1:1" x14ac:dyDescent="0.3">
      <c r="A453" s="36"/>
    </row>
    <row r="454" spans="1:1" x14ac:dyDescent="0.3">
      <c r="A454" s="36"/>
    </row>
    <row r="455" spans="1:1" x14ac:dyDescent="0.3">
      <c r="A455" s="36"/>
    </row>
    <row r="456" spans="1:1" x14ac:dyDescent="0.3">
      <c r="A456" s="36"/>
    </row>
    <row r="457" spans="1:1" x14ac:dyDescent="0.3">
      <c r="A457" s="36"/>
    </row>
    <row r="458" spans="1:1" x14ac:dyDescent="0.3">
      <c r="A458" s="36"/>
    </row>
    <row r="459" spans="1:1" x14ac:dyDescent="0.3">
      <c r="A459" s="36"/>
    </row>
    <row r="460" spans="1:1" x14ac:dyDescent="0.3">
      <c r="A460" s="36"/>
    </row>
    <row r="461" spans="1:1" x14ac:dyDescent="0.3">
      <c r="A461" s="36"/>
    </row>
    <row r="462" spans="1:1" x14ac:dyDescent="0.3">
      <c r="A462" s="36"/>
    </row>
    <row r="463" spans="1:1" x14ac:dyDescent="0.3">
      <c r="A463" s="36"/>
    </row>
    <row r="464" spans="1:1" x14ac:dyDescent="0.3">
      <c r="A464" s="36"/>
    </row>
    <row r="465" spans="1:1" x14ac:dyDescent="0.3">
      <c r="A465" s="36"/>
    </row>
    <row r="466" spans="1:1" x14ac:dyDescent="0.3">
      <c r="A466" s="36"/>
    </row>
    <row r="467" spans="1:1" x14ac:dyDescent="0.3">
      <c r="A467" s="36"/>
    </row>
    <row r="468" spans="1:1" x14ac:dyDescent="0.3">
      <c r="A468" s="36"/>
    </row>
    <row r="469" spans="1:1" x14ac:dyDescent="0.3">
      <c r="A469" s="36"/>
    </row>
    <row r="470" spans="1:1" x14ac:dyDescent="0.3">
      <c r="A470" s="36"/>
    </row>
    <row r="471" spans="1:1" x14ac:dyDescent="0.3">
      <c r="A471" s="36"/>
    </row>
    <row r="472" spans="1:1" x14ac:dyDescent="0.3">
      <c r="A472" s="36"/>
    </row>
    <row r="473" spans="1:1" x14ac:dyDescent="0.3">
      <c r="A473" s="36"/>
    </row>
    <row r="474" spans="1:1" x14ac:dyDescent="0.3">
      <c r="A474" s="36"/>
    </row>
    <row r="475" spans="1:1" x14ac:dyDescent="0.3">
      <c r="A475" s="36"/>
    </row>
    <row r="476" spans="1:1" x14ac:dyDescent="0.3">
      <c r="A476" s="36"/>
    </row>
    <row r="477" spans="1:1" x14ac:dyDescent="0.3">
      <c r="A477" s="36"/>
    </row>
    <row r="478" spans="1:1" x14ac:dyDescent="0.3">
      <c r="A478" s="36"/>
    </row>
    <row r="479" spans="1:1" x14ac:dyDescent="0.3">
      <c r="A479" s="36"/>
    </row>
    <row r="480" spans="1:1" x14ac:dyDescent="0.3">
      <c r="A480" s="36"/>
    </row>
    <row r="481" spans="1:1" x14ac:dyDescent="0.3">
      <c r="A481" s="36"/>
    </row>
    <row r="482" spans="1:1" x14ac:dyDescent="0.3">
      <c r="A482" s="36"/>
    </row>
    <row r="483" spans="1:1" x14ac:dyDescent="0.3">
      <c r="A483" s="36"/>
    </row>
    <row r="484" spans="1:1" x14ac:dyDescent="0.3">
      <c r="A484" s="36"/>
    </row>
    <row r="485" spans="1:1" x14ac:dyDescent="0.3">
      <c r="A485" s="36"/>
    </row>
    <row r="486" spans="1:1" x14ac:dyDescent="0.3">
      <c r="A486" s="36"/>
    </row>
    <row r="487" spans="1:1" x14ac:dyDescent="0.3">
      <c r="A487" s="36"/>
    </row>
    <row r="488" spans="1:1" x14ac:dyDescent="0.3">
      <c r="A488" s="36"/>
    </row>
    <row r="489" spans="1:1" x14ac:dyDescent="0.3">
      <c r="A489" s="36"/>
    </row>
    <row r="490" spans="1:1" x14ac:dyDescent="0.3">
      <c r="A490" s="36"/>
    </row>
    <row r="491" spans="1:1" x14ac:dyDescent="0.3">
      <c r="A491" s="36"/>
    </row>
    <row r="492" spans="1:1" x14ac:dyDescent="0.3">
      <c r="A492" s="36"/>
    </row>
    <row r="493" spans="1:1" x14ac:dyDescent="0.3">
      <c r="A493" s="36"/>
    </row>
    <row r="494" spans="1:1" x14ac:dyDescent="0.3">
      <c r="A494" s="36"/>
    </row>
    <row r="495" spans="1:1" x14ac:dyDescent="0.3">
      <c r="A495" s="36"/>
    </row>
    <row r="496" spans="1:1" x14ac:dyDescent="0.3">
      <c r="A496" s="36"/>
    </row>
    <row r="497" spans="1:1" x14ac:dyDescent="0.3">
      <c r="A497" s="36"/>
    </row>
    <row r="498" spans="1:1" x14ac:dyDescent="0.3">
      <c r="A498" s="36"/>
    </row>
    <row r="499" spans="1:1" x14ac:dyDescent="0.3">
      <c r="A499" s="36"/>
    </row>
    <row r="500" spans="1:1" x14ac:dyDescent="0.3">
      <c r="A500" s="36"/>
    </row>
    <row r="501" spans="1:1" x14ac:dyDescent="0.3">
      <c r="A501" s="36"/>
    </row>
    <row r="502" spans="1:1" x14ac:dyDescent="0.3">
      <c r="A502" s="36"/>
    </row>
    <row r="503" spans="1:1" x14ac:dyDescent="0.3">
      <c r="A503" s="36"/>
    </row>
    <row r="504" spans="1:1" x14ac:dyDescent="0.3">
      <c r="A504" s="36"/>
    </row>
    <row r="505" spans="1:1" x14ac:dyDescent="0.3">
      <c r="A505" s="36"/>
    </row>
    <row r="506" spans="1:1" x14ac:dyDescent="0.3">
      <c r="A506" s="36"/>
    </row>
    <row r="507" spans="1:1" x14ac:dyDescent="0.3">
      <c r="A507" s="36"/>
    </row>
    <row r="508" spans="1:1" x14ac:dyDescent="0.3">
      <c r="A508" s="36"/>
    </row>
    <row r="509" spans="1:1" x14ac:dyDescent="0.3">
      <c r="A509" s="36"/>
    </row>
    <row r="510" spans="1:1" x14ac:dyDescent="0.3">
      <c r="A510" s="36"/>
    </row>
    <row r="511" spans="1:1" x14ac:dyDescent="0.3">
      <c r="A511" s="36"/>
    </row>
    <row r="512" spans="1:1" x14ac:dyDescent="0.3">
      <c r="A512" s="36"/>
    </row>
    <row r="513" spans="1:1" x14ac:dyDescent="0.3">
      <c r="A513" s="36"/>
    </row>
    <row r="514" spans="1:1" x14ac:dyDescent="0.3">
      <c r="A514" s="36"/>
    </row>
    <row r="515" spans="1:1" x14ac:dyDescent="0.3">
      <c r="A515" s="36"/>
    </row>
    <row r="516" spans="1:1" x14ac:dyDescent="0.3">
      <c r="A516" s="36"/>
    </row>
    <row r="517" spans="1:1" x14ac:dyDescent="0.3">
      <c r="A517" s="36"/>
    </row>
    <row r="518" spans="1:1" x14ac:dyDescent="0.3">
      <c r="A518" s="36"/>
    </row>
    <row r="519" spans="1:1" x14ac:dyDescent="0.3">
      <c r="A519" s="36"/>
    </row>
    <row r="520" spans="1:1" x14ac:dyDescent="0.3">
      <c r="A520" s="36"/>
    </row>
    <row r="521" spans="1:1" x14ac:dyDescent="0.3">
      <c r="A521" s="36"/>
    </row>
    <row r="522" spans="1:1" x14ac:dyDescent="0.3">
      <c r="A522" s="36"/>
    </row>
    <row r="523" spans="1:1" x14ac:dyDescent="0.3">
      <c r="A523" s="36"/>
    </row>
    <row r="524" spans="1:1" x14ac:dyDescent="0.3">
      <c r="A524" s="36"/>
    </row>
    <row r="525" spans="1:1" x14ac:dyDescent="0.3">
      <c r="A525" s="36"/>
    </row>
    <row r="526" spans="1:1" x14ac:dyDescent="0.3">
      <c r="A526" s="36"/>
    </row>
    <row r="527" spans="1:1" x14ac:dyDescent="0.3">
      <c r="A527" s="36"/>
    </row>
    <row r="528" spans="1:1" x14ac:dyDescent="0.3">
      <c r="A528" s="36"/>
    </row>
    <row r="529" spans="1:1" x14ac:dyDescent="0.3">
      <c r="A529" s="36"/>
    </row>
    <row r="530" spans="1:1" x14ac:dyDescent="0.3">
      <c r="A530" s="36"/>
    </row>
    <row r="531" spans="1:1" x14ac:dyDescent="0.3">
      <c r="A531" s="36"/>
    </row>
    <row r="532" spans="1:1" x14ac:dyDescent="0.3">
      <c r="A532" s="36"/>
    </row>
    <row r="533" spans="1:1" x14ac:dyDescent="0.3">
      <c r="A533" s="36"/>
    </row>
    <row r="534" spans="1:1" x14ac:dyDescent="0.3">
      <c r="A534" s="36"/>
    </row>
    <row r="535" spans="1:1" x14ac:dyDescent="0.3">
      <c r="A535" s="36"/>
    </row>
    <row r="536" spans="1:1" x14ac:dyDescent="0.3">
      <c r="A536" s="36"/>
    </row>
    <row r="537" spans="1:1" x14ac:dyDescent="0.3">
      <c r="A537" s="36"/>
    </row>
    <row r="538" spans="1:1" x14ac:dyDescent="0.3">
      <c r="A538" s="36"/>
    </row>
    <row r="539" spans="1:1" x14ac:dyDescent="0.3">
      <c r="A539" s="36"/>
    </row>
    <row r="540" spans="1:1" x14ac:dyDescent="0.3">
      <c r="A540" s="36"/>
    </row>
    <row r="541" spans="1:1" x14ac:dyDescent="0.3">
      <c r="A541" s="36"/>
    </row>
    <row r="542" spans="1:1" x14ac:dyDescent="0.3">
      <c r="A542" s="36"/>
    </row>
    <row r="543" spans="1:1" x14ac:dyDescent="0.3">
      <c r="A543" s="36"/>
    </row>
    <row r="544" spans="1:1" x14ac:dyDescent="0.3">
      <c r="A544" s="36"/>
    </row>
    <row r="545" spans="1:1" x14ac:dyDescent="0.3">
      <c r="A545" s="36"/>
    </row>
    <row r="546" spans="1:1" x14ac:dyDescent="0.3">
      <c r="A546" s="36"/>
    </row>
    <row r="547" spans="1:1" x14ac:dyDescent="0.3">
      <c r="A547" s="36"/>
    </row>
    <row r="548" spans="1:1" x14ac:dyDescent="0.3">
      <c r="A548" s="36"/>
    </row>
    <row r="549" spans="1:1" x14ac:dyDescent="0.3">
      <c r="A549" s="36"/>
    </row>
    <row r="550" spans="1:1" x14ac:dyDescent="0.3">
      <c r="A550" s="36"/>
    </row>
    <row r="551" spans="1:1" x14ac:dyDescent="0.3">
      <c r="A551" s="36"/>
    </row>
    <row r="552" spans="1:1" x14ac:dyDescent="0.3">
      <c r="A552" s="36"/>
    </row>
    <row r="553" spans="1:1" x14ac:dyDescent="0.3">
      <c r="A553" s="36"/>
    </row>
    <row r="554" spans="1:1" x14ac:dyDescent="0.3">
      <c r="A554" s="36"/>
    </row>
    <row r="555" spans="1:1" x14ac:dyDescent="0.3">
      <c r="A555" s="36"/>
    </row>
    <row r="556" spans="1:1" x14ac:dyDescent="0.3">
      <c r="A556" s="36"/>
    </row>
    <row r="557" spans="1:1" x14ac:dyDescent="0.3">
      <c r="A557" s="36"/>
    </row>
    <row r="558" spans="1:1" x14ac:dyDescent="0.3">
      <c r="A558" s="36"/>
    </row>
    <row r="559" spans="1:1" x14ac:dyDescent="0.3">
      <c r="A559" s="36"/>
    </row>
    <row r="560" spans="1:1" x14ac:dyDescent="0.3">
      <c r="A560" s="36"/>
    </row>
    <row r="561" spans="1:1" x14ac:dyDescent="0.3">
      <c r="A561" s="36"/>
    </row>
    <row r="562" spans="1:1" x14ac:dyDescent="0.3">
      <c r="A562" s="36"/>
    </row>
    <row r="563" spans="1:1" x14ac:dyDescent="0.3">
      <c r="A563" s="36"/>
    </row>
    <row r="564" spans="1:1" x14ac:dyDescent="0.3">
      <c r="A564" s="36"/>
    </row>
    <row r="565" spans="1:1" x14ac:dyDescent="0.3">
      <c r="A565" s="36"/>
    </row>
    <row r="566" spans="1:1" x14ac:dyDescent="0.3">
      <c r="A566" s="36"/>
    </row>
    <row r="567" spans="1:1" x14ac:dyDescent="0.3">
      <c r="A567" s="36"/>
    </row>
    <row r="568" spans="1:1" x14ac:dyDescent="0.3">
      <c r="A568" s="36"/>
    </row>
    <row r="569" spans="1:1" x14ac:dyDescent="0.3">
      <c r="A569" s="36"/>
    </row>
    <row r="570" spans="1:1" x14ac:dyDescent="0.3">
      <c r="A570" s="36"/>
    </row>
    <row r="571" spans="1:1" x14ac:dyDescent="0.3">
      <c r="A571" s="36"/>
    </row>
    <row r="572" spans="1:1" x14ac:dyDescent="0.3">
      <c r="A572" s="36"/>
    </row>
    <row r="573" spans="1:1" x14ac:dyDescent="0.3">
      <c r="A573" s="36"/>
    </row>
    <row r="574" spans="1:1" x14ac:dyDescent="0.3">
      <c r="A574" s="36"/>
    </row>
    <row r="575" spans="1:1" x14ac:dyDescent="0.3">
      <c r="A575" s="36"/>
    </row>
    <row r="576" spans="1:1" x14ac:dyDescent="0.3">
      <c r="A576" s="36"/>
    </row>
    <row r="577" spans="1:1" x14ac:dyDescent="0.3">
      <c r="A577" s="36"/>
    </row>
    <row r="578" spans="1:1" x14ac:dyDescent="0.3">
      <c r="A578" s="36"/>
    </row>
    <row r="579" spans="1:1" x14ac:dyDescent="0.3">
      <c r="A579" s="36"/>
    </row>
    <row r="580" spans="1:1" x14ac:dyDescent="0.3">
      <c r="A580" s="36"/>
    </row>
    <row r="581" spans="1:1" x14ac:dyDescent="0.3">
      <c r="A581" s="36"/>
    </row>
    <row r="582" spans="1:1" x14ac:dyDescent="0.3">
      <c r="A582" s="36"/>
    </row>
    <row r="583" spans="1:1" x14ac:dyDescent="0.3">
      <c r="A583" s="36"/>
    </row>
    <row r="584" spans="1:1" x14ac:dyDescent="0.3">
      <c r="A584" s="36"/>
    </row>
    <row r="585" spans="1:1" x14ac:dyDescent="0.3">
      <c r="A585" s="36"/>
    </row>
    <row r="586" spans="1:1" x14ac:dyDescent="0.3">
      <c r="A586" s="36"/>
    </row>
    <row r="587" spans="1:1" x14ac:dyDescent="0.3">
      <c r="A587" s="36"/>
    </row>
    <row r="588" spans="1:1" x14ac:dyDescent="0.3">
      <c r="A588" s="36"/>
    </row>
    <row r="589" spans="1:1" x14ac:dyDescent="0.3">
      <c r="A589" s="36"/>
    </row>
    <row r="590" spans="1:1" x14ac:dyDescent="0.3">
      <c r="A590" s="36"/>
    </row>
    <row r="591" spans="1:1" x14ac:dyDescent="0.3">
      <c r="A591" s="36"/>
    </row>
    <row r="592" spans="1:1" x14ac:dyDescent="0.3">
      <c r="A592" s="36"/>
    </row>
    <row r="593" spans="1:1" x14ac:dyDescent="0.3">
      <c r="A593" s="36"/>
    </row>
    <row r="594" spans="1:1" x14ac:dyDescent="0.3">
      <c r="A594" s="36"/>
    </row>
    <row r="595" spans="1:1" x14ac:dyDescent="0.3">
      <c r="A595" s="36"/>
    </row>
    <row r="596" spans="1:1" x14ac:dyDescent="0.3">
      <c r="A596" s="36"/>
    </row>
    <row r="597" spans="1:1" x14ac:dyDescent="0.3">
      <c r="A597" s="36"/>
    </row>
    <row r="598" spans="1:1" x14ac:dyDescent="0.3">
      <c r="A598" s="36"/>
    </row>
    <row r="599" spans="1:1" x14ac:dyDescent="0.3">
      <c r="A599" s="36"/>
    </row>
    <row r="600" spans="1:1" x14ac:dyDescent="0.3">
      <c r="A600" s="36"/>
    </row>
    <row r="601" spans="1:1" x14ac:dyDescent="0.3">
      <c r="A601" s="36"/>
    </row>
    <row r="602" spans="1:1" x14ac:dyDescent="0.3">
      <c r="A602" s="36"/>
    </row>
    <row r="603" spans="1:1" x14ac:dyDescent="0.3">
      <c r="A603" s="36"/>
    </row>
    <row r="604" spans="1:1" x14ac:dyDescent="0.3">
      <c r="A604" s="36"/>
    </row>
    <row r="605" spans="1:1" x14ac:dyDescent="0.3">
      <c r="A605" s="36"/>
    </row>
    <row r="606" spans="1:1" x14ac:dyDescent="0.3">
      <c r="A606" s="36"/>
    </row>
    <row r="607" spans="1:1" x14ac:dyDescent="0.3">
      <c r="A607" s="36"/>
    </row>
    <row r="608" spans="1:1" x14ac:dyDescent="0.3">
      <c r="A608" s="36"/>
    </row>
    <row r="609" spans="1:1" x14ac:dyDescent="0.3">
      <c r="A609" s="36"/>
    </row>
    <row r="610" spans="1:1" x14ac:dyDescent="0.3">
      <c r="A610" s="36"/>
    </row>
    <row r="611" spans="1:1" x14ac:dyDescent="0.3">
      <c r="A611" s="36"/>
    </row>
    <row r="612" spans="1:1" x14ac:dyDescent="0.3">
      <c r="A612" s="36"/>
    </row>
    <row r="613" spans="1:1" x14ac:dyDescent="0.3">
      <c r="A613" s="36"/>
    </row>
    <row r="614" spans="1:1" x14ac:dyDescent="0.3">
      <c r="A614" s="36"/>
    </row>
    <row r="615" spans="1:1" x14ac:dyDescent="0.3">
      <c r="A615" s="36"/>
    </row>
    <row r="616" spans="1:1" x14ac:dyDescent="0.3">
      <c r="A616" s="36"/>
    </row>
    <row r="617" spans="1:1" x14ac:dyDescent="0.3">
      <c r="A617" s="36"/>
    </row>
    <row r="618" spans="1:1" x14ac:dyDescent="0.3">
      <c r="A618" s="36"/>
    </row>
    <row r="619" spans="1:1" x14ac:dyDescent="0.3">
      <c r="A619" s="36"/>
    </row>
    <row r="620" spans="1:1" x14ac:dyDescent="0.3">
      <c r="A620" s="36"/>
    </row>
    <row r="621" spans="1:1" x14ac:dyDescent="0.3">
      <c r="A621" s="36"/>
    </row>
    <row r="622" spans="1:1" x14ac:dyDescent="0.3">
      <c r="A622" s="36"/>
    </row>
    <row r="623" spans="1:1" x14ac:dyDescent="0.3">
      <c r="A623" s="36"/>
    </row>
    <row r="624" spans="1:1" x14ac:dyDescent="0.3">
      <c r="A624" s="36"/>
    </row>
    <row r="625" spans="1:1" x14ac:dyDescent="0.3">
      <c r="A625" s="36"/>
    </row>
    <row r="626" spans="1:1" x14ac:dyDescent="0.3">
      <c r="A626" s="36"/>
    </row>
    <row r="627" spans="1:1" x14ac:dyDescent="0.3">
      <c r="A627" s="36"/>
    </row>
    <row r="628" spans="1:1" x14ac:dyDescent="0.3">
      <c r="A628" s="36"/>
    </row>
    <row r="629" spans="1:1" x14ac:dyDescent="0.3">
      <c r="A629" s="36"/>
    </row>
    <row r="630" spans="1:1" x14ac:dyDescent="0.3">
      <c r="A630" s="36"/>
    </row>
    <row r="631" spans="1:1" x14ac:dyDescent="0.3">
      <c r="A631" s="36"/>
    </row>
    <row r="632" spans="1:1" x14ac:dyDescent="0.3">
      <c r="A632" s="36"/>
    </row>
    <row r="633" spans="1:1" x14ac:dyDescent="0.3">
      <c r="A633" s="36"/>
    </row>
    <row r="634" spans="1:1" x14ac:dyDescent="0.3">
      <c r="A634" s="36"/>
    </row>
    <row r="635" spans="1:1" x14ac:dyDescent="0.3">
      <c r="A635" s="36"/>
    </row>
    <row r="636" spans="1:1" x14ac:dyDescent="0.3">
      <c r="A636" s="36"/>
    </row>
    <row r="637" spans="1:1" x14ac:dyDescent="0.3">
      <c r="A637" s="36"/>
    </row>
    <row r="638" spans="1:1" x14ac:dyDescent="0.3">
      <c r="A638" s="36"/>
    </row>
    <row r="639" spans="1:1" x14ac:dyDescent="0.3">
      <c r="A639" s="36"/>
    </row>
    <row r="640" spans="1:1" x14ac:dyDescent="0.3">
      <c r="A640" s="36"/>
    </row>
    <row r="641" spans="1:1" x14ac:dyDescent="0.3">
      <c r="A641" s="36"/>
    </row>
    <row r="642" spans="1:1" x14ac:dyDescent="0.3">
      <c r="A642" s="36"/>
    </row>
    <row r="643" spans="1:1" x14ac:dyDescent="0.3">
      <c r="A643" s="36"/>
    </row>
    <row r="644" spans="1:1" x14ac:dyDescent="0.3">
      <c r="A644" s="36"/>
    </row>
    <row r="645" spans="1:1" x14ac:dyDescent="0.3">
      <c r="A645" s="36"/>
    </row>
    <row r="646" spans="1:1" x14ac:dyDescent="0.3">
      <c r="A646" s="36"/>
    </row>
    <row r="647" spans="1:1" x14ac:dyDescent="0.3">
      <c r="A647" s="36"/>
    </row>
    <row r="648" spans="1:1" x14ac:dyDescent="0.3">
      <c r="A648" s="36"/>
    </row>
    <row r="649" spans="1:1" x14ac:dyDescent="0.3">
      <c r="A649" s="36"/>
    </row>
    <row r="650" spans="1:1" x14ac:dyDescent="0.3">
      <c r="A650" s="36"/>
    </row>
    <row r="651" spans="1:1" x14ac:dyDescent="0.3">
      <c r="A651" s="36"/>
    </row>
    <row r="652" spans="1:1" x14ac:dyDescent="0.3">
      <c r="A652" s="36"/>
    </row>
    <row r="653" spans="1:1" x14ac:dyDescent="0.3">
      <c r="A653" s="36"/>
    </row>
    <row r="654" spans="1:1" x14ac:dyDescent="0.3">
      <c r="A654" s="36"/>
    </row>
    <row r="655" spans="1:1" x14ac:dyDescent="0.3">
      <c r="A655" s="36"/>
    </row>
    <row r="656" spans="1:1" x14ac:dyDescent="0.3">
      <c r="A656" s="36"/>
    </row>
    <row r="657" spans="1:1" x14ac:dyDescent="0.3">
      <c r="A657" s="36"/>
    </row>
    <row r="658" spans="1:1" x14ac:dyDescent="0.3">
      <c r="A658" s="36"/>
    </row>
    <row r="659" spans="1:1" x14ac:dyDescent="0.3">
      <c r="A659" s="36"/>
    </row>
    <row r="660" spans="1:1" x14ac:dyDescent="0.3">
      <c r="A660" s="36"/>
    </row>
    <row r="661" spans="1:1" x14ac:dyDescent="0.3">
      <c r="A661" s="36"/>
    </row>
    <row r="662" spans="1:1" x14ac:dyDescent="0.3">
      <c r="A662" s="36"/>
    </row>
    <row r="663" spans="1:1" x14ac:dyDescent="0.3">
      <c r="A663" s="36"/>
    </row>
    <row r="664" spans="1:1" x14ac:dyDescent="0.3">
      <c r="A664" s="36"/>
    </row>
    <row r="665" spans="1:1" x14ac:dyDescent="0.3">
      <c r="A665" s="36"/>
    </row>
    <row r="666" spans="1:1" x14ac:dyDescent="0.3">
      <c r="A666" s="36"/>
    </row>
    <row r="667" spans="1:1" x14ac:dyDescent="0.3">
      <c r="A667" s="36"/>
    </row>
    <row r="668" spans="1:1" x14ac:dyDescent="0.3">
      <c r="A668" s="36"/>
    </row>
    <row r="669" spans="1:1" x14ac:dyDescent="0.3">
      <c r="A669" s="36"/>
    </row>
    <row r="670" spans="1:1" x14ac:dyDescent="0.3">
      <c r="A670" s="36"/>
    </row>
    <row r="671" spans="1:1" x14ac:dyDescent="0.3">
      <c r="A671" s="36"/>
    </row>
    <row r="672" spans="1:1" x14ac:dyDescent="0.3">
      <c r="A672" s="36"/>
    </row>
    <row r="673" spans="1:1" x14ac:dyDescent="0.3">
      <c r="A673" s="36"/>
    </row>
    <row r="674" spans="1:1" x14ac:dyDescent="0.3">
      <c r="A674" s="36"/>
    </row>
    <row r="675" spans="1:1" x14ac:dyDescent="0.3">
      <c r="A675" s="36"/>
    </row>
    <row r="676" spans="1:1" x14ac:dyDescent="0.3">
      <c r="A676" s="36"/>
    </row>
    <row r="677" spans="1:1" x14ac:dyDescent="0.3">
      <c r="A677" s="36"/>
    </row>
    <row r="678" spans="1:1" x14ac:dyDescent="0.3">
      <c r="A678" s="36"/>
    </row>
    <row r="679" spans="1:1" x14ac:dyDescent="0.3">
      <c r="A679" s="36"/>
    </row>
    <row r="680" spans="1:1" x14ac:dyDescent="0.3">
      <c r="A680" s="36"/>
    </row>
    <row r="681" spans="1:1" x14ac:dyDescent="0.3">
      <c r="A681" s="36"/>
    </row>
    <row r="682" spans="1:1" x14ac:dyDescent="0.3">
      <c r="A682" s="36"/>
    </row>
    <row r="683" spans="1:1" x14ac:dyDescent="0.3">
      <c r="A683" s="36"/>
    </row>
    <row r="684" spans="1:1" x14ac:dyDescent="0.3">
      <c r="A684" s="36"/>
    </row>
    <row r="685" spans="1:1" x14ac:dyDescent="0.3">
      <c r="A685" s="36"/>
    </row>
    <row r="686" spans="1:1" x14ac:dyDescent="0.3">
      <c r="A686" s="36"/>
    </row>
    <row r="687" spans="1:1" x14ac:dyDescent="0.3">
      <c r="A687" s="36"/>
    </row>
    <row r="688" spans="1:1" x14ac:dyDescent="0.3">
      <c r="A688" s="36"/>
    </row>
    <row r="689" spans="1:1" x14ac:dyDescent="0.3">
      <c r="A689" s="36"/>
    </row>
    <row r="690" spans="1:1" x14ac:dyDescent="0.3">
      <c r="A690" s="36"/>
    </row>
    <row r="691" spans="1:1" x14ac:dyDescent="0.3">
      <c r="A691" s="36"/>
    </row>
    <row r="692" spans="1:1" x14ac:dyDescent="0.3">
      <c r="A692" s="36"/>
    </row>
    <row r="693" spans="1:1" x14ac:dyDescent="0.3">
      <c r="A693" s="36"/>
    </row>
    <row r="694" spans="1:1" x14ac:dyDescent="0.3">
      <c r="A694" s="36"/>
    </row>
    <row r="695" spans="1:1" x14ac:dyDescent="0.3">
      <c r="A695" s="36"/>
    </row>
    <row r="696" spans="1:1" x14ac:dyDescent="0.3">
      <c r="A696" s="36"/>
    </row>
    <row r="697" spans="1:1" x14ac:dyDescent="0.3">
      <c r="A697" s="36"/>
    </row>
    <row r="698" spans="1:1" x14ac:dyDescent="0.3">
      <c r="A698" s="36"/>
    </row>
    <row r="699" spans="1:1" x14ac:dyDescent="0.3">
      <c r="A699" s="36"/>
    </row>
    <row r="700" spans="1:1" x14ac:dyDescent="0.3">
      <c r="A700" s="36"/>
    </row>
    <row r="701" spans="1:1" x14ac:dyDescent="0.3">
      <c r="A701" s="36"/>
    </row>
    <row r="702" spans="1:1" x14ac:dyDescent="0.3">
      <c r="A702" s="36"/>
    </row>
    <row r="703" spans="1:1" x14ac:dyDescent="0.3">
      <c r="A703" s="36"/>
    </row>
    <row r="704" spans="1:1" x14ac:dyDescent="0.3">
      <c r="A704" s="36"/>
    </row>
    <row r="705" spans="1:1" x14ac:dyDescent="0.3">
      <c r="A705" s="36"/>
    </row>
    <row r="706" spans="1:1" x14ac:dyDescent="0.3">
      <c r="A706" s="36"/>
    </row>
    <row r="707" spans="1:1" x14ac:dyDescent="0.3">
      <c r="A707" s="36"/>
    </row>
    <row r="708" spans="1:1" x14ac:dyDescent="0.3">
      <c r="A708" s="36"/>
    </row>
    <row r="709" spans="1:1" x14ac:dyDescent="0.3">
      <c r="A709" s="36"/>
    </row>
    <row r="710" spans="1:1" x14ac:dyDescent="0.3">
      <c r="A710" s="36"/>
    </row>
    <row r="711" spans="1:1" x14ac:dyDescent="0.3">
      <c r="A711" s="36"/>
    </row>
    <row r="712" spans="1:1" x14ac:dyDescent="0.3">
      <c r="A712" s="36"/>
    </row>
    <row r="713" spans="1:1" x14ac:dyDescent="0.3">
      <c r="A713" s="36"/>
    </row>
    <row r="714" spans="1:1" x14ac:dyDescent="0.3">
      <c r="A714" s="36"/>
    </row>
    <row r="715" spans="1:1" x14ac:dyDescent="0.3">
      <c r="A715" s="36"/>
    </row>
    <row r="716" spans="1:1" x14ac:dyDescent="0.3">
      <c r="A716" s="36"/>
    </row>
    <row r="717" spans="1:1" x14ac:dyDescent="0.3">
      <c r="A717" s="36"/>
    </row>
    <row r="718" spans="1:1" x14ac:dyDescent="0.3">
      <c r="A718" s="36"/>
    </row>
    <row r="719" spans="1:1" x14ac:dyDescent="0.3">
      <c r="A719" s="36"/>
    </row>
    <row r="720" spans="1:1" x14ac:dyDescent="0.3">
      <c r="A720" s="36"/>
    </row>
    <row r="721" spans="1:1" x14ac:dyDescent="0.3">
      <c r="A721" s="36"/>
    </row>
    <row r="722" spans="1:1" x14ac:dyDescent="0.3">
      <c r="A722" s="36"/>
    </row>
    <row r="723" spans="1:1" x14ac:dyDescent="0.3">
      <c r="A723" s="36"/>
    </row>
    <row r="724" spans="1:1" x14ac:dyDescent="0.3">
      <c r="A724" s="36"/>
    </row>
    <row r="725" spans="1:1" x14ac:dyDescent="0.3">
      <c r="A725" s="36"/>
    </row>
    <row r="726" spans="1:1" x14ac:dyDescent="0.3">
      <c r="A726" s="36"/>
    </row>
    <row r="727" spans="1:1" x14ac:dyDescent="0.3">
      <c r="A727" s="36"/>
    </row>
    <row r="728" spans="1:1" x14ac:dyDescent="0.3">
      <c r="A728" s="36"/>
    </row>
    <row r="729" spans="1:1" x14ac:dyDescent="0.3">
      <c r="A729" s="36"/>
    </row>
    <row r="730" spans="1:1" x14ac:dyDescent="0.3">
      <c r="A730" s="36"/>
    </row>
    <row r="731" spans="1:1" x14ac:dyDescent="0.3">
      <c r="A731" s="36"/>
    </row>
    <row r="732" spans="1:1" x14ac:dyDescent="0.3">
      <c r="A732" s="36"/>
    </row>
    <row r="733" spans="1:1" x14ac:dyDescent="0.3">
      <c r="A733" s="36"/>
    </row>
    <row r="734" spans="1:1" x14ac:dyDescent="0.3">
      <c r="A734" s="36"/>
    </row>
    <row r="735" spans="1:1" x14ac:dyDescent="0.3">
      <c r="A735" s="36"/>
    </row>
    <row r="736" spans="1:1" x14ac:dyDescent="0.3">
      <c r="A736" s="36"/>
    </row>
    <row r="737" spans="1:1" x14ac:dyDescent="0.3">
      <c r="A737" s="36"/>
    </row>
    <row r="738" spans="1:1" x14ac:dyDescent="0.3">
      <c r="A738" s="36"/>
    </row>
    <row r="739" spans="1:1" x14ac:dyDescent="0.3">
      <c r="A739" s="36"/>
    </row>
    <row r="740" spans="1:1" x14ac:dyDescent="0.3">
      <c r="A740" s="36"/>
    </row>
    <row r="741" spans="1:1" x14ac:dyDescent="0.3">
      <c r="A741" s="36"/>
    </row>
    <row r="742" spans="1:1" x14ac:dyDescent="0.3">
      <c r="A742" s="36"/>
    </row>
    <row r="743" spans="1:1" x14ac:dyDescent="0.3">
      <c r="A743" s="36"/>
    </row>
    <row r="744" spans="1:1" x14ac:dyDescent="0.3">
      <c r="A744" s="36"/>
    </row>
    <row r="745" spans="1:1" x14ac:dyDescent="0.3">
      <c r="A745" s="36"/>
    </row>
    <row r="746" spans="1:1" x14ac:dyDescent="0.3">
      <c r="A746" s="36"/>
    </row>
    <row r="747" spans="1:1" x14ac:dyDescent="0.3">
      <c r="A747" s="36"/>
    </row>
    <row r="748" spans="1:1" x14ac:dyDescent="0.3">
      <c r="A748" s="36"/>
    </row>
    <row r="749" spans="1:1" x14ac:dyDescent="0.3">
      <c r="A749" s="36"/>
    </row>
    <row r="750" spans="1:1" x14ac:dyDescent="0.3">
      <c r="A750" s="36"/>
    </row>
    <row r="751" spans="1:1" x14ac:dyDescent="0.3">
      <c r="A751" s="36"/>
    </row>
    <row r="752" spans="1:1" x14ac:dyDescent="0.3">
      <c r="A752" s="36"/>
    </row>
    <row r="753" spans="1:1" x14ac:dyDescent="0.3">
      <c r="A753" s="36"/>
    </row>
    <row r="754" spans="1:1" x14ac:dyDescent="0.3">
      <c r="A754" s="36"/>
    </row>
    <row r="755" spans="1:1" x14ac:dyDescent="0.3">
      <c r="A755" s="36"/>
    </row>
    <row r="756" spans="1:1" x14ac:dyDescent="0.3">
      <c r="A756" s="36"/>
    </row>
    <row r="757" spans="1:1" x14ac:dyDescent="0.3">
      <c r="A757" s="36"/>
    </row>
    <row r="758" spans="1:1" x14ac:dyDescent="0.3">
      <c r="A758" s="36"/>
    </row>
    <row r="759" spans="1:1" x14ac:dyDescent="0.3">
      <c r="A759" s="36"/>
    </row>
    <row r="760" spans="1:1" x14ac:dyDescent="0.3">
      <c r="A760" s="36"/>
    </row>
    <row r="761" spans="1:1" x14ac:dyDescent="0.3">
      <c r="A761" s="36"/>
    </row>
    <row r="762" spans="1:1" x14ac:dyDescent="0.3">
      <c r="A762" s="36"/>
    </row>
    <row r="763" spans="1:1" x14ac:dyDescent="0.3">
      <c r="A763" s="36"/>
    </row>
    <row r="764" spans="1:1" x14ac:dyDescent="0.3">
      <c r="A764" s="36"/>
    </row>
    <row r="765" spans="1:1" x14ac:dyDescent="0.3">
      <c r="A765" s="36"/>
    </row>
    <row r="766" spans="1:1" x14ac:dyDescent="0.3">
      <c r="A766" s="36"/>
    </row>
    <row r="767" spans="1:1" x14ac:dyDescent="0.3">
      <c r="A767" s="36"/>
    </row>
    <row r="768" spans="1:1" x14ac:dyDescent="0.3">
      <c r="A768" s="36"/>
    </row>
    <row r="769" spans="1:1" x14ac:dyDescent="0.3">
      <c r="A769" s="36"/>
    </row>
    <row r="770" spans="1:1" x14ac:dyDescent="0.3">
      <c r="A770" s="36"/>
    </row>
    <row r="771" spans="1:1" x14ac:dyDescent="0.3">
      <c r="A771" s="36"/>
    </row>
    <row r="772" spans="1:1" x14ac:dyDescent="0.3">
      <c r="A772" s="36"/>
    </row>
    <row r="773" spans="1:1" x14ac:dyDescent="0.3">
      <c r="A773" s="36"/>
    </row>
    <row r="774" spans="1:1" x14ac:dyDescent="0.3">
      <c r="A774" s="36"/>
    </row>
    <row r="775" spans="1:1" x14ac:dyDescent="0.3">
      <c r="A775" s="36"/>
    </row>
    <row r="776" spans="1:1" x14ac:dyDescent="0.3">
      <c r="A776" s="36"/>
    </row>
    <row r="777" spans="1:1" x14ac:dyDescent="0.3">
      <c r="A777" s="36"/>
    </row>
    <row r="778" spans="1:1" x14ac:dyDescent="0.3">
      <c r="A778" s="36"/>
    </row>
    <row r="779" spans="1:1" x14ac:dyDescent="0.3">
      <c r="A779" s="36"/>
    </row>
    <row r="780" spans="1:1" x14ac:dyDescent="0.3">
      <c r="A780" s="36"/>
    </row>
    <row r="781" spans="1:1" x14ac:dyDescent="0.3">
      <c r="A781" s="36"/>
    </row>
    <row r="782" spans="1:1" x14ac:dyDescent="0.3">
      <c r="A782" s="36"/>
    </row>
    <row r="783" spans="1:1" x14ac:dyDescent="0.3">
      <c r="A783" s="36"/>
    </row>
    <row r="784" spans="1:1" x14ac:dyDescent="0.3">
      <c r="A784" s="36"/>
    </row>
    <row r="785" spans="1:1" x14ac:dyDescent="0.3">
      <c r="A785" s="36"/>
    </row>
    <row r="786" spans="1:1" x14ac:dyDescent="0.3">
      <c r="A786" s="36"/>
    </row>
    <row r="787" spans="1:1" x14ac:dyDescent="0.3">
      <c r="A787" s="36"/>
    </row>
    <row r="788" spans="1:1" x14ac:dyDescent="0.3">
      <c r="A788" s="36"/>
    </row>
    <row r="789" spans="1:1" x14ac:dyDescent="0.3">
      <c r="A789" s="36"/>
    </row>
    <row r="790" spans="1:1" x14ac:dyDescent="0.3">
      <c r="A790" s="36"/>
    </row>
    <row r="791" spans="1:1" x14ac:dyDescent="0.3">
      <c r="A791" s="36"/>
    </row>
    <row r="792" spans="1:1" x14ac:dyDescent="0.3">
      <c r="A792" s="36"/>
    </row>
    <row r="793" spans="1:1" x14ac:dyDescent="0.3">
      <c r="A793" s="36"/>
    </row>
    <row r="794" spans="1:1" x14ac:dyDescent="0.3">
      <c r="A794" s="36"/>
    </row>
    <row r="795" spans="1:1" x14ac:dyDescent="0.3">
      <c r="A795" s="36"/>
    </row>
    <row r="796" spans="1:1" x14ac:dyDescent="0.3">
      <c r="A796" s="36"/>
    </row>
    <row r="797" spans="1:1" x14ac:dyDescent="0.3">
      <c r="A797" s="36"/>
    </row>
    <row r="798" spans="1:1" x14ac:dyDescent="0.3">
      <c r="A798" s="36"/>
    </row>
    <row r="799" spans="1:1" x14ac:dyDescent="0.3">
      <c r="A799" s="36"/>
    </row>
    <row r="800" spans="1:1" x14ac:dyDescent="0.3">
      <c r="A800" s="36"/>
    </row>
    <row r="801" spans="1:1" x14ac:dyDescent="0.3">
      <c r="A801" s="36"/>
    </row>
    <row r="802" spans="1:1" x14ac:dyDescent="0.3">
      <c r="A802" s="36"/>
    </row>
    <row r="803" spans="1:1" x14ac:dyDescent="0.3">
      <c r="A803" s="36"/>
    </row>
    <row r="804" spans="1:1" x14ac:dyDescent="0.3">
      <c r="A804" s="36"/>
    </row>
    <row r="805" spans="1:1" x14ac:dyDescent="0.3">
      <c r="A805" s="36"/>
    </row>
    <row r="806" spans="1:1" x14ac:dyDescent="0.3">
      <c r="A806" s="36"/>
    </row>
    <row r="807" spans="1:1" x14ac:dyDescent="0.3">
      <c r="A807" s="36"/>
    </row>
    <row r="808" spans="1:1" x14ac:dyDescent="0.3">
      <c r="A808" s="36"/>
    </row>
    <row r="809" spans="1:1" x14ac:dyDescent="0.3">
      <c r="A809" s="36"/>
    </row>
    <row r="810" spans="1:1" x14ac:dyDescent="0.3">
      <c r="A810" s="36"/>
    </row>
    <row r="811" spans="1:1" x14ac:dyDescent="0.3">
      <c r="A811" s="36"/>
    </row>
    <row r="812" spans="1:1" x14ac:dyDescent="0.3">
      <c r="A812" s="36"/>
    </row>
    <row r="813" spans="1:1" x14ac:dyDescent="0.3">
      <c r="A813" s="36"/>
    </row>
    <row r="814" spans="1:1" x14ac:dyDescent="0.3">
      <c r="A814" s="36"/>
    </row>
    <row r="815" spans="1:1" x14ac:dyDescent="0.3">
      <c r="A815" s="36"/>
    </row>
    <row r="816" spans="1:1" x14ac:dyDescent="0.3">
      <c r="A816" s="36"/>
    </row>
    <row r="817" spans="1:1" x14ac:dyDescent="0.3">
      <c r="A817" s="36"/>
    </row>
    <row r="818" spans="1:1" x14ac:dyDescent="0.3">
      <c r="A818" s="36"/>
    </row>
    <row r="819" spans="1:1" x14ac:dyDescent="0.3">
      <c r="A819" s="36"/>
    </row>
    <row r="820" spans="1:1" x14ac:dyDescent="0.3">
      <c r="A820" s="36"/>
    </row>
    <row r="821" spans="1:1" x14ac:dyDescent="0.3">
      <c r="A821" s="36"/>
    </row>
    <row r="822" spans="1:1" x14ac:dyDescent="0.3">
      <c r="A822" s="36"/>
    </row>
    <row r="823" spans="1:1" x14ac:dyDescent="0.3">
      <c r="A823" s="36"/>
    </row>
    <row r="824" spans="1:1" x14ac:dyDescent="0.3">
      <c r="A824" s="36"/>
    </row>
    <row r="825" spans="1:1" x14ac:dyDescent="0.3">
      <c r="A825" s="36"/>
    </row>
    <row r="826" spans="1:1" x14ac:dyDescent="0.3">
      <c r="A826" s="36"/>
    </row>
    <row r="827" spans="1:1" x14ac:dyDescent="0.3">
      <c r="A827" s="36"/>
    </row>
    <row r="828" spans="1:1" x14ac:dyDescent="0.3">
      <c r="A828" s="36"/>
    </row>
    <row r="829" spans="1:1" x14ac:dyDescent="0.3">
      <c r="A829" s="36"/>
    </row>
    <row r="830" spans="1:1" x14ac:dyDescent="0.3">
      <c r="A830" s="36"/>
    </row>
    <row r="831" spans="1:1" x14ac:dyDescent="0.3">
      <c r="A831" s="36"/>
    </row>
    <row r="832" spans="1:1" x14ac:dyDescent="0.3">
      <c r="A832" s="36"/>
    </row>
    <row r="833" spans="1:1" x14ac:dyDescent="0.3">
      <c r="A833" s="36"/>
    </row>
    <row r="834" spans="1:1" x14ac:dyDescent="0.3">
      <c r="A834" s="36"/>
    </row>
    <row r="835" spans="1:1" x14ac:dyDescent="0.3">
      <c r="A835" s="36"/>
    </row>
    <row r="836" spans="1:1" x14ac:dyDescent="0.3">
      <c r="A836" s="36"/>
    </row>
    <row r="837" spans="1:1" x14ac:dyDescent="0.3">
      <c r="A837" s="36"/>
    </row>
    <row r="838" spans="1:1" x14ac:dyDescent="0.3">
      <c r="A838" s="36"/>
    </row>
    <row r="839" spans="1:1" x14ac:dyDescent="0.3">
      <c r="A839" s="36"/>
    </row>
    <row r="840" spans="1:1" x14ac:dyDescent="0.3">
      <c r="A840" s="36"/>
    </row>
    <row r="841" spans="1:1" x14ac:dyDescent="0.3">
      <c r="A841" s="36"/>
    </row>
    <row r="842" spans="1:1" x14ac:dyDescent="0.3">
      <c r="A842" s="36"/>
    </row>
    <row r="843" spans="1:1" x14ac:dyDescent="0.3">
      <c r="A843" s="36"/>
    </row>
    <row r="844" spans="1:1" x14ac:dyDescent="0.3">
      <c r="A844" s="36"/>
    </row>
    <row r="845" spans="1:1" x14ac:dyDescent="0.3">
      <c r="A845" s="36"/>
    </row>
    <row r="846" spans="1:1" x14ac:dyDescent="0.3">
      <c r="A846" s="36"/>
    </row>
    <row r="847" spans="1:1" x14ac:dyDescent="0.3">
      <c r="A847" s="36"/>
    </row>
    <row r="848" spans="1:1" x14ac:dyDescent="0.3">
      <c r="A848" s="36"/>
    </row>
    <row r="849" spans="1:1" x14ac:dyDescent="0.3">
      <c r="A849" s="36"/>
    </row>
    <row r="850" spans="1:1" x14ac:dyDescent="0.3">
      <c r="A850" s="36"/>
    </row>
    <row r="851" spans="1:1" x14ac:dyDescent="0.3">
      <c r="A851" s="36"/>
    </row>
    <row r="852" spans="1:1" x14ac:dyDescent="0.3">
      <c r="A852" s="36"/>
    </row>
    <row r="853" spans="1:1" x14ac:dyDescent="0.3">
      <c r="A853" s="36"/>
    </row>
    <row r="854" spans="1:1" x14ac:dyDescent="0.3">
      <c r="A854" s="36"/>
    </row>
    <row r="855" spans="1:1" x14ac:dyDescent="0.3">
      <c r="A855" s="36"/>
    </row>
    <row r="856" spans="1:1" x14ac:dyDescent="0.3">
      <c r="A856" s="36"/>
    </row>
    <row r="857" spans="1:1" x14ac:dyDescent="0.3">
      <c r="A857" s="36"/>
    </row>
    <row r="858" spans="1:1" x14ac:dyDescent="0.3">
      <c r="A858" s="36"/>
    </row>
    <row r="859" spans="1:1" x14ac:dyDescent="0.3">
      <c r="A859" s="36"/>
    </row>
    <row r="860" spans="1:1" x14ac:dyDescent="0.3">
      <c r="A860" s="36"/>
    </row>
    <row r="861" spans="1:1" x14ac:dyDescent="0.3">
      <c r="A861" s="36"/>
    </row>
    <row r="862" spans="1:1" x14ac:dyDescent="0.3">
      <c r="A862" s="36"/>
    </row>
    <row r="863" spans="1:1" x14ac:dyDescent="0.3">
      <c r="A863" s="36"/>
    </row>
    <row r="864" spans="1:1" x14ac:dyDescent="0.3">
      <c r="A864" s="36"/>
    </row>
    <row r="865" spans="1:1" x14ac:dyDescent="0.3">
      <c r="A865" s="36"/>
    </row>
    <row r="866" spans="1:1" x14ac:dyDescent="0.3">
      <c r="A866" s="36"/>
    </row>
    <row r="867" spans="1:1" x14ac:dyDescent="0.3">
      <c r="A867" s="36"/>
    </row>
    <row r="868" spans="1:1" x14ac:dyDescent="0.3">
      <c r="A868" s="36"/>
    </row>
    <row r="869" spans="1:1" x14ac:dyDescent="0.3">
      <c r="A869" s="36"/>
    </row>
    <row r="870" spans="1:1" x14ac:dyDescent="0.3">
      <c r="A870" s="36"/>
    </row>
    <row r="871" spans="1:1" x14ac:dyDescent="0.3">
      <c r="A871" s="36"/>
    </row>
    <row r="872" spans="1:1" x14ac:dyDescent="0.3">
      <c r="A872" s="36"/>
    </row>
    <row r="873" spans="1:1" x14ac:dyDescent="0.3">
      <c r="A873" s="36"/>
    </row>
    <row r="874" spans="1:1" x14ac:dyDescent="0.3">
      <c r="A874" s="36"/>
    </row>
    <row r="875" spans="1:1" x14ac:dyDescent="0.3">
      <c r="A875" s="36"/>
    </row>
    <row r="876" spans="1:1" x14ac:dyDescent="0.3">
      <c r="A876" s="36"/>
    </row>
    <row r="877" spans="1:1" x14ac:dyDescent="0.3">
      <c r="A877" s="36"/>
    </row>
    <row r="878" spans="1:1" x14ac:dyDescent="0.3">
      <c r="A878" s="36"/>
    </row>
    <row r="879" spans="1:1" x14ac:dyDescent="0.3">
      <c r="A879" s="36"/>
    </row>
    <row r="880" spans="1:1" x14ac:dyDescent="0.3">
      <c r="A880" s="36"/>
    </row>
    <row r="881" spans="1:1" x14ac:dyDescent="0.3">
      <c r="A881" s="36"/>
    </row>
    <row r="882" spans="1:1" x14ac:dyDescent="0.3">
      <c r="A882" s="36"/>
    </row>
    <row r="883" spans="1:1" x14ac:dyDescent="0.3">
      <c r="A883" s="36"/>
    </row>
    <row r="884" spans="1:1" x14ac:dyDescent="0.3">
      <c r="A884" s="36"/>
    </row>
    <row r="885" spans="1:1" x14ac:dyDescent="0.3">
      <c r="A885" s="36"/>
    </row>
    <row r="886" spans="1:1" x14ac:dyDescent="0.3">
      <c r="A886" s="36"/>
    </row>
    <row r="887" spans="1:1" x14ac:dyDescent="0.3">
      <c r="A887" s="36"/>
    </row>
    <row r="888" spans="1:1" x14ac:dyDescent="0.3">
      <c r="A888" s="36"/>
    </row>
    <row r="889" spans="1:1" x14ac:dyDescent="0.3">
      <c r="A889" s="36"/>
    </row>
    <row r="890" spans="1:1" x14ac:dyDescent="0.3">
      <c r="A890" s="36"/>
    </row>
    <row r="891" spans="1:1" x14ac:dyDescent="0.3">
      <c r="A891" s="36"/>
    </row>
    <row r="892" spans="1:1" x14ac:dyDescent="0.3">
      <c r="A892" s="36"/>
    </row>
    <row r="893" spans="1:1" x14ac:dyDescent="0.3">
      <c r="A893" s="36"/>
    </row>
    <row r="894" spans="1:1" x14ac:dyDescent="0.3">
      <c r="A894" s="36"/>
    </row>
    <row r="895" spans="1:1" x14ac:dyDescent="0.3">
      <c r="A895" s="36"/>
    </row>
    <row r="896" spans="1:1" x14ac:dyDescent="0.3">
      <c r="A896" s="36"/>
    </row>
    <row r="897" spans="1:1" x14ac:dyDescent="0.3">
      <c r="A897" s="36"/>
    </row>
    <row r="898" spans="1:1" x14ac:dyDescent="0.3">
      <c r="A898" s="36"/>
    </row>
    <row r="899" spans="1:1" x14ac:dyDescent="0.3">
      <c r="A899" s="36"/>
    </row>
    <row r="900" spans="1:1" x14ac:dyDescent="0.3">
      <c r="A900" s="36"/>
    </row>
    <row r="901" spans="1:1" x14ac:dyDescent="0.3">
      <c r="A901" s="36"/>
    </row>
    <row r="902" spans="1:1" x14ac:dyDescent="0.3">
      <c r="A902" s="36"/>
    </row>
    <row r="903" spans="1:1" x14ac:dyDescent="0.3">
      <c r="A903" s="36"/>
    </row>
    <row r="904" spans="1:1" x14ac:dyDescent="0.3">
      <c r="A904" s="36"/>
    </row>
    <row r="905" spans="1:1" x14ac:dyDescent="0.3">
      <c r="A905" s="36"/>
    </row>
    <row r="906" spans="1:1" x14ac:dyDescent="0.3">
      <c r="A906" s="36"/>
    </row>
    <row r="907" spans="1:1" x14ac:dyDescent="0.3">
      <c r="A907" s="36"/>
    </row>
    <row r="908" spans="1:1" x14ac:dyDescent="0.3">
      <c r="A908" s="36"/>
    </row>
    <row r="909" spans="1:1" x14ac:dyDescent="0.3">
      <c r="A909" s="36"/>
    </row>
    <row r="910" spans="1:1" x14ac:dyDescent="0.3">
      <c r="A910" s="36"/>
    </row>
    <row r="911" spans="1:1" x14ac:dyDescent="0.3">
      <c r="A911" s="36"/>
    </row>
    <row r="912" spans="1:1" x14ac:dyDescent="0.3">
      <c r="A912" s="36"/>
    </row>
    <row r="913" spans="1:1" x14ac:dyDescent="0.3">
      <c r="A913" s="36"/>
    </row>
    <row r="914" spans="1:1" x14ac:dyDescent="0.3">
      <c r="A914" s="36"/>
    </row>
    <row r="915" spans="1:1" x14ac:dyDescent="0.3">
      <c r="A915" s="36"/>
    </row>
    <row r="916" spans="1:1" x14ac:dyDescent="0.3">
      <c r="A916" s="36"/>
    </row>
    <row r="917" spans="1:1" x14ac:dyDescent="0.3">
      <c r="A917" s="36"/>
    </row>
    <row r="918" spans="1:1" x14ac:dyDescent="0.3">
      <c r="A918" s="36"/>
    </row>
    <row r="919" spans="1:1" x14ac:dyDescent="0.3">
      <c r="A919" s="36"/>
    </row>
    <row r="920" spans="1:1" x14ac:dyDescent="0.3">
      <c r="A920" s="36"/>
    </row>
    <row r="921" spans="1:1" x14ac:dyDescent="0.3">
      <c r="A921" s="36"/>
    </row>
    <row r="922" spans="1:1" x14ac:dyDescent="0.3">
      <c r="A922" s="36"/>
    </row>
    <row r="923" spans="1:1" x14ac:dyDescent="0.3">
      <c r="A923" s="36"/>
    </row>
    <row r="924" spans="1:1" x14ac:dyDescent="0.3">
      <c r="A924" s="36"/>
    </row>
    <row r="925" spans="1:1" x14ac:dyDescent="0.3">
      <c r="A925" s="36"/>
    </row>
    <row r="926" spans="1:1" x14ac:dyDescent="0.3">
      <c r="A926" s="36"/>
    </row>
    <row r="927" spans="1:1" x14ac:dyDescent="0.3">
      <c r="A927" s="36"/>
    </row>
    <row r="928" spans="1:1" x14ac:dyDescent="0.3">
      <c r="A928" s="36"/>
    </row>
    <row r="929" spans="1:1" x14ac:dyDescent="0.3">
      <c r="A929" s="36"/>
    </row>
    <row r="930" spans="1:1" x14ac:dyDescent="0.3">
      <c r="A930" s="36"/>
    </row>
    <row r="931" spans="1:1" x14ac:dyDescent="0.3">
      <c r="A931" s="36"/>
    </row>
    <row r="932" spans="1:1" x14ac:dyDescent="0.3">
      <c r="A932" s="36"/>
    </row>
    <row r="933" spans="1:1" x14ac:dyDescent="0.3">
      <c r="A933" s="36"/>
    </row>
    <row r="934" spans="1:1" x14ac:dyDescent="0.3">
      <c r="A934" s="36"/>
    </row>
    <row r="935" spans="1:1" x14ac:dyDescent="0.3">
      <c r="A935" s="36"/>
    </row>
    <row r="936" spans="1:1" x14ac:dyDescent="0.3">
      <c r="A936" s="36"/>
    </row>
    <row r="937" spans="1:1" x14ac:dyDescent="0.3">
      <c r="A937" s="36"/>
    </row>
    <row r="938" spans="1:1" x14ac:dyDescent="0.3">
      <c r="A938" s="36"/>
    </row>
    <row r="939" spans="1:1" x14ac:dyDescent="0.3">
      <c r="A939" s="36"/>
    </row>
    <row r="940" spans="1:1" x14ac:dyDescent="0.3">
      <c r="A940" s="36"/>
    </row>
    <row r="941" spans="1:1" x14ac:dyDescent="0.3">
      <c r="A941" s="36"/>
    </row>
    <row r="942" spans="1:1" x14ac:dyDescent="0.3">
      <c r="A942" s="36"/>
    </row>
    <row r="943" spans="1:1" x14ac:dyDescent="0.3">
      <c r="A943" s="36"/>
    </row>
    <row r="944" spans="1:1" x14ac:dyDescent="0.3">
      <c r="A944" s="36"/>
    </row>
    <row r="945" spans="1:1" x14ac:dyDescent="0.3">
      <c r="A945" s="36"/>
    </row>
    <row r="946" spans="1:1" x14ac:dyDescent="0.3">
      <c r="A946" s="36"/>
    </row>
    <row r="947" spans="1:1" x14ac:dyDescent="0.3">
      <c r="A947" s="36"/>
    </row>
    <row r="948" spans="1:1" x14ac:dyDescent="0.3">
      <c r="A948" s="36"/>
    </row>
    <row r="949" spans="1:1" x14ac:dyDescent="0.3">
      <c r="A949" s="36"/>
    </row>
    <row r="950" spans="1:1" x14ac:dyDescent="0.3">
      <c r="A950" s="36"/>
    </row>
    <row r="951" spans="1:1" x14ac:dyDescent="0.3">
      <c r="A951" s="36"/>
    </row>
    <row r="952" spans="1:1" x14ac:dyDescent="0.3">
      <c r="A952" s="36"/>
    </row>
    <row r="953" spans="1:1" x14ac:dyDescent="0.3">
      <c r="A953" s="36"/>
    </row>
    <row r="954" spans="1:1" x14ac:dyDescent="0.3">
      <c r="A954" s="36"/>
    </row>
    <row r="955" spans="1:1" x14ac:dyDescent="0.3">
      <c r="A955" s="36"/>
    </row>
    <row r="956" spans="1:1" x14ac:dyDescent="0.3">
      <c r="A956" s="36"/>
    </row>
    <row r="957" spans="1:1" x14ac:dyDescent="0.3">
      <c r="A957" s="36"/>
    </row>
    <row r="958" spans="1:1" x14ac:dyDescent="0.3">
      <c r="A958" s="36"/>
    </row>
    <row r="959" spans="1:1" x14ac:dyDescent="0.3">
      <c r="A959" s="36"/>
    </row>
    <row r="960" spans="1:1" x14ac:dyDescent="0.3">
      <c r="A960" s="36"/>
    </row>
    <row r="961" spans="1:1" x14ac:dyDescent="0.3">
      <c r="A961" s="36"/>
    </row>
    <row r="962" spans="1:1" x14ac:dyDescent="0.3">
      <c r="A962" s="36"/>
    </row>
    <row r="963" spans="1:1" x14ac:dyDescent="0.3">
      <c r="A963" s="36"/>
    </row>
    <row r="964" spans="1:1" x14ac:dyDescent="0.3">
      <c r="A964" s="36"/>
    </row>
    <row r="965" spans="1:1" x14ac:dyDescent="0.3">
      <c r="A965" s="36"/>
    </row>
    <row r="966" spans="1:1" x14ac:dyDescent="0.3">
      <c r="A966" s="36"/>
    </row>
    <row r="967" spans="1:1" x14ac:dyDescent="0.3">
      <c r="A967" s="36"/>
    </row>
    <row r="968" spans="1:1" x14ac:dyDescent="0.3">
      <c r="A968" s="36"/>
    </row>
    <row r="969" spans="1:1" x14ac:dyDescent="0.3">
      <c r="A969" s="36"/>
    </row>
    <row r="970" spans="1:1" x14ac:dyDescent="0.3">
      <c r="A970" s="36"/>
    </row>
    <row r="971" spans="1:1" x14ac:dyDescent="0.3">
      <c r="A971" s="36"/>
    </row>
    <row r="972" spans="1:1" x14ac:dyDescent="0.3">
      <c r="A972" s="36"/>
    </row>
    <row r="973" spans="1:1" x14ac:dyDescent="0.3">
      <c r="A973" s="36"/>
    </row>
    <row r="974" spans="1:1" x14ac:dyDescent="0.3">
      <c r="A974" s="36"/>
    </row>
    <row r="975" spans="1:1" x14ac:dyDescent="0.3">
      <c r="A975" s="36"/>
    </row>
    <row r="976" spans="1:1" x14ac:dyDescent="0.3">
      <c r="A976" s="36"/>
    </row>
    <row r="977" spans="1:1" x14ac:dyDescent="0.3">
      <c r="A977" s="36"/>
    </row>
    <row r="978" spans="1:1" x14ac:dyDescent="0.3">
      <c r="A978" s="36"/>
    </row>
    <row r="979" spans="1:1" x14ac:dyDescent="0.3">
      <c r="A979" s="36"/>
    </row>
    <row r="980" spans="1:1" x14ac:dyDescent="0.3">
      <c r="A980" s="36"/>
    </row>
    <row r="981" spans="1:1" x14ac:dyDescent="0.3">
      <c r="A981" s="36"/>
    </row>
    <row r="982" spans="1:1" x14ac:dyDescent="0.3">
      <c r="A982" s="36"/>
    </row>
    <row r="983" spans="1:1" x14ac:dyDescent="0.3">
      <c r="A983" s="36"/>
    </row>
    <row r="984" spans="1:1" x14ac:dyDescent="0.3">
      <c r="A984" s="36"/>
    </row>
    <row r="985" spans="1:1" x14ac:dyDescent="0.3">
      <c r="A985" s="36"/>
    </row>
    <row r="986" spans="1:1" x14ac:dyDescent="0.3">
      <c r="A986" s="36"/>
    </row>
    <row r="987" spans="1:1" x14ac:dyDescent="0.3">
      <c r="A987" s="36"/>
    </row>
    <row r="988" spans="1:1" x14ac:dyDescent="0.3">
      <c r="A988" s="36"/>
    </row>
    <row r="989" spans="1:1" x14ac:dyDescent="0.3">
      <c r="A989" s="36"/>
    </row>
    <row r="990" spans="1:1" x14ac:dyDescent="0.3">
      <c r="A990" s="36"/>
    </row>
    <row r="991" spans="1:1" x14ac:dyDescent="0.3">
      <c r="A991" s="36"/>
    </row>
    <row r="992" spans="1:1" x14ac:dyDescent="0.3">
      <c r="A992" s="36"/>
    </row>
    <row r="993" spans="1:1" x14ac:dyDescent="0.3">
      <c r="A993" s="36"/>
    </row>
    <row r="994" spans="1:1" x14ac:dyDescent="0.3">
      <c r="A994" s="36"/>
    </row>
    <row r="995" spans="1:1" x14ac:dyDescent="0.3">
      <c r="A995" s="36"/>
    </row>
    <row r="996" spans="1:1" x14ac:dyDescent="0.3">
      <c r="A996" s="36"/>
    </row>
    <row r="997" spans="1:1" x14ac:dyDescent="0.3">
      <c r="A997" s="36"/>
    </row>
    <row r="998" spans="1:1" x14ac:dyDescent="0.3">
      <c r="A998" s="36"/>
    </row>
    <row r="999" spans="1:1" x14ac:dyDescent="0.3">
      <c r="A999" s="36"/>
    </row>
    <row r="1000" spans="1:1" x14ac:dyDescent="0.3">
      <c r="A1000" s="3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Canonical Pathways</vt:lpstr>
      <vt:lpstr>Diseases &amp; Biofunctions</vt:lpstr>
      <vt:lpstr>ML Disease Pathways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La Biological Research Network</cp:lastModifiedBy>
  <dcterms:created xsi:type="dcterms:W3CDTF">2015-06-05T18:17:20Z</dcterms:created>
  <dcterms:modified xsi:type="dcterms:W3CDTF">2026-09-09T08:32:30Z</dcterms:modified>
</cp:coreProperties>
</file>